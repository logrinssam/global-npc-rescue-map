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회고입력" sheetId="2" state="visible" r:id="rId2"/>
    <sheet xmlns:r="http://schemas.openxmlformats.org/officeDocument/2006/relationships" name="회고결과" sheetId="3" state="visible" r:id="rId3"/>
    <sheet xmlns:r="http://schemas.openxmlformats.org/officeDocument/2006/relationships" name="루브릭추이" sheetId="4" state="visible" r:id="rId4"/>
    <sheet xmlns:r="http://schemas.openxmlformats.org/officeDocument/2006/relationships" name="챗봇로그" sheetId="5" state="visible" r:id="rId5"/>
    <sheet xmlns:r="http://schemas.openxmlformats.org/officeDocument/2006/relationships" name="폼붙여넣기(회고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;-0.00;0.00"/>
    <numFmt numFmtId="166" formatCode="+0%;-0%;0%"/>
    <numFmt numFmtId="167" formatCode="0.0"/>
  </numFmts>
  <fonts count="7">
    <font>
      <name val="Calibri"/>
      <family val="2"/>
      <color theme="1"/>
      <sz val="11"/>
      <scheme val="minor"/>
    </font>
    <font>
      <name val="맑은 고딕"/>
      <b val="1"/>
      <color rgb="001F3A5F"/>
      <sz val="13"/>
    </font>
    <font>
      <name val="맑은 고딕"/>
      <sz val="10"/>
    </font>
    <font>
      <name val="맑은 고딕"/>
      <b val="1"/>
      <sz val="10"/>
    </font>
    <font>
      <name val="맑은 고딕"/>
      <i val="1"/>
      <color rgb="00C00000"/>
      <sz val="9"/>
    </font>
    <font>
      <name val="맑은 고딕"/>
      <b val="1"/>
      <color rgb="00FFFFFF"/>
      <sz val="10"/>
    </font>
    <font>
      <name val="맑은 고딕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8F5"/>
      </patternFill>
    </fill>
    <fill>
      <patternFill patternType="solid">
        <fgColor rgb="001F3A5F"/>
      </patternFill>
    </fill>
    <fill>
      <patternFill patternType="solid">
        <fgColor rgb="00FFF4D6"/>
      </patternFill>
    </fill>
    <fill>
      <patternFill patternType="solid">
        <fgColor rgb="00E2F0EC"/>
      </patternFill>
    </fill>
    <fill>
      <patternFill patternType="solid">
        <fgColor rgb="00EDEDED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9" fontId="2" fillId="6" borderId="1" applyAlignment="1" pivotButton="0" quotePrefix="0" xfId="0">
      <alignment horizontal="center" vertical="center" wrapText="1"/>
    </xf>
    <xf numFmtId="166" fontId="2" fillId="6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기록지 ①~④ 루브릭 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'루브릭추이'!A38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'루브릭추이'!$B$37:$E$37</f>
            </numRef>
          </cat>
          <val>
            <numRef>
              <f>'루브릭추이'!$B$38:$E$38</f>
            </numRef>
          </val>
          <smooth val="0"/>
        </ser>
        <ser>
          <idx val="1"/>
          <order val="1"/>
          <tx>
            <strRef>
              <f>'루브릭추이'!A39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'루브릭추이'!$B$37:$E$37</f>
            </numRef>
          </cat>
          <val>
            <numRef>
              <f>'루브릭추이'!$B$39:$E$39</f>
            </numRef>
          </val>
          <smooth val="0"/>
        </ser>
        <ser>
          <idx val="2"/>
          <order val="2"/>
          <tx>
            <strRef>
              <f>'루브릭추이'!A40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'루브릭추이'!$B$37:$E$37</f>
            </numRef>
          </cat>
          <val>
            <numRef>
              <f>'루브릭추이'!$B$40:$E$40</f>
            </numRef>
          </val>
          <smooth val="0"/>
        </ser>
        <ser>
          <idx val="3"/>
          <order val="3"/>
          <tx>
            <strRef>
              <f>'루브릭추이'!A41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'루브릭추이'!$B$37:$E$37</f>
            </numRef>
          </cat>
          <val>
            <numRef>
              <f>'루브릭추이'!$B$41:$E$41</f>
            </numRef>
          </val>
          <smooth val="0"/>
        </ser>
        <ser>
          <idx val="4"/>
          <order val="4"/>
          <tx>
            <strRef>
              <f>'루브릭추이'!A42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'루브릭추이'!$B$37:$E$37</f>
            </numRef>
          </cat>
          <val>
            <numRef>
              <f>'루브릭추이'!$B$42:$E$42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기록지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평균 점수(1~4)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기록지별 합계(20점) 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'루브릭추이'!A43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'루브릭추이'!$B$37:$E$37</f>
            </numRef>
          </cat>
          <val>
            <numRef>
              <f>'루브릭추이'!$B$43:$E$43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기록지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0"/>
          <min val="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합계 평균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대화별 E+S 질문 비율 평균</a:t>
            </a:r>
          </a:p>
        </rich>
      </tx>
    </title>
    <plotArea>
      <lineChart>
        <grouping val="standard"/>
        <ser>
          <idx val="0"/>
          <order val="0"/>
          <tx>
            <strRef>
              <f>'챗봇로그'!A43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'챗봇로그'!$B$37:$F$37</f>
            </numRef>
          </cat>
          <val>
            <numRef>
              <f>'챗봇로그'!$B$43:$F$43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대화 상대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E+S 비율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56</row>
      <rowOff>0</rowOff>
    </from>
    <ext cx="64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36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지구촌 NPC 구조대 · 사후 검증 분석 시트</t>
        </is>
      </c>
      <c r="B1" s="2" t="inlineStr"/>
    </row>
    <row r="2">
      <c r="A2" s="3" t="inlineStr"/>
      <c r="B2" s="2" t="inlineStr"/>
    </row>
    <row r="3">
      <c r="A3" s="4" t="inlineStr">
        <is>
          <t>시트</t>
        </is>
      </c>
      <c r="B3" s="5" t="inlineStr">
        <is>
          <t>할 일</t>
        </is>
      </c>
    </row>
    <row r="4">
      <c r="A4" s="3" t="inlineStr">
        <is>
          <t>회고입력</t>
        </is>
      </c>
      <c r="B4" s="2" t="inlineStr">
        <is>
          <t>사후 회고검사지를 별칭별로 한 줄씩 입력. A는 정답 개수(0~10), B·C는 '수업 전' 칸과 '지금' 칸 각각 1~5, D①~④는 질적_코딩표.md의 수준(1~4, 무응답 0).</t>
        </is>
      </c>
    </row>
    <row r="5">
      <c r="A5" s="3" t="inlineStr">
        <is>
          <t>회고결과</t>
        </is>
      </c>
      <c r="B5" s="2" t="inlineStr">
        <is>
          <t>자동 계산. B·C 영역별 수업 전/지금 평균·표준편차, 대응표본 t 검정(T.TEST, 양측), Cohen's d, 문항별 평균, D 수준별 빈도.</t>
        </is>
      </c>
    </row>
    <row r="6">
      <c r="A6" s="3" t="inlineStr">
        <is>
          <t>루브릭추이</t>
        </is>
      </c>
      <c r="B6" s="2" t="inlineStr">
        <is>
          <t>기록지 ①~④(테아·세이두·민·리마)의 루브릭 5준거(1~4점)를 별칭별로 입력하면 기록지별 평균 추이 표와 꺾은선 그래프가 자동으로 그려짐.</t>
        </is>
      </c>
    </row>
    <row r="7">
      <c r="A7" s="3" t="inlineStr">
        <is>
          <t>폼붙여넣기(회고)</t>
        </is>
      </c>
      <c r="B7" s="2" t="inlineStr">
        <is>
          <t>구글폼으로 수합했을 때 사용. 구글 응답 시트를 A4에 그대로 붙여 넣으면 오른쪽에 회고입력 형식(별칭=모둠+별칭, A 정답 개수, ①~⑤→1~5)으로 바뀜. 그 블록을 복사해 회고입력 시트에 '값만 붙여넣기'. 폼은 worksheets/구글폼_만들기.gs 로 만들어야 열 순서가 맞음.</t>
        </is>
      </c>
    </row>
    <row r="8">
      <c r="A8" s="3" t="inlineStr">
        <is>
          <t>챗봇로그</t>
        </is>
      </c>
      <c r="B8" s="2" t="inlineStr">
        <is>
          <t>E-GPT 대화 내역에서 학생 질문을 F(사실)·E(마음·이유)·S(해결)·O(기타)로 센 개수를 별칭 × 대화(①~⑤)로 입력. 질문 합계, E+S 비율, ①→④ 변화, 대화별 평균과 그래프가 자동. 분류 기준과 E-GPT 리포트 활용법은 질적_코딩표.md 5절·5-1절.</t>
        </is>
      </c>
    </row>
    <row r="9">
      <c r="A9" s="3" t="inlineStr"/>
      <c r="B9" s="2" t="inlineStr"/>
    </row>
    <row r="10">
      <c r="A10" s="3" t="inlineStr">
        <is>
          <t>입력 규칙</t>
        </is>
      </c>
      <c r="B10" s="2" t="inlineStr">
        <is>
          <t>각 입력 시트의 회색 3줄은 예시입니다. 지우고 실제 자료를 쓰세요. 빈 줄은 계산에서 자동으로 빠집니다(30명분 칸, 부족하면 줄 삽입 후 수식 범위 확인).</t>
        </is>
      </c>
    </row>
    <row r="11">
      <c r="A11" s="3" t="inlineStr"/>
      <c r="B11" s="2" t="inlineStr">
        <is>
          <t>B·C 점수 입력: ①=1, ②=2, ③=3, ④=4, ⑤=5.  D 수준: 질적_코딩표.md 기준 1~4, 무응답은 0 (0은 평균에서 제외되고 빈도표에만 '무응답'으로 셈).</t>
        </is>
      </c>
    </row>
    <row r="12">
      <c r="A12" s="3" t="inlineStr"/>
      <c r="B12" s="2" t="inlineStr">
        <is>
          <t>Cohen's d: (지금 평균 − 수업 전 평균) / 두 시점 표준편차의 합동값.  해석: 0.2 작음 · 0.5 중간 · 0.8 큼.</t>
        </is>
      </c>
    </row>
    <row r="13">
      <c r="A13" s="3" t="inlineStr"/>
      <c r="B13" s="2" t="inlineStr">
        <is>
          <t>p값은 .05보다 작으면 통계적으로 의미 있는 차이. N≈25이면 작은 차이는 유의하지 않을 수 있으므로 d와 함께 보고하세요.</t>
        </is>
      </c>
    </row>
    <row r="14">
      <c r="A14" s="3" t="inlineStr"/>
      <c r="B14" s="2" t="inlineStr">
        <is>
          <t>회색 '검정용' 열은 자동 계산되는 보조 열입니다(수업 전·지금을 모두 답한 학생만 남김). 지우거나 고치지 마세요.</t>
        </is>
      </c>
    </row>
    <row r="15">
      <c r="A15" s="3" t="inlineStr">
        <is>
          <t>A 정답</t>
        </is>
      </c>
      <c r="B15" s="2" t="inlineStr">
        <is>
          <t>1① 2④ 3O 4② 5O 6① 7② 8O 9① 10X  (한 문항 1점, 0~10점으로 입력. 검사지에는 정답이 인쇄되어 있지 않습니다.)</t>
        </is>
      </c>
    </row>
    <row r="16">
      <c r="A16" s="3" t="inlineStr"/>
      <c r="B16" s="2" t="inlineStr">
        <is>
          <t>연구 한계 문구 예시: "사전검사를 실시하지 못하여 회고적 사전·사후 설계(then-test; Howard, 1980)로 대체하고, 기록지 루브릭 추이와 성찰문·챗봇 기록으로 보완하였다."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9" customWidth="1" min="41" max="41"/>
    <col width="9" customWidth="1" min="42" max="42"/>
    <col width="8" customWidth="1" min="43" max="43"/>
    <col width="8" customWidth="1" min="44" max="44"/>
    <col width="8" customWidth="1" min="45" max="45"/>
    <col width="8" customWidth="1" min="46" max="46"/>
  </cols>
  <sheetData>
    <row r="1">
      <c r="A1" s="1" t="inlineStr">
        <is>
          <t>회고입력 — 사후 회고검사지</t>
        </is>
      </c>
    </row>
    <row r="2">
      <c r="A2" s="6" t="inlineStr">
        <is>
          <t>▼ 회색 3줄은 예시예요. 지우고 쓰세요. 별칭은 챗봇에 입장한 별칭(예: 1모둠 바다)과 똑같이 적어요.</t>
        </is>
      </c>
    </row>
    <row r="3" ht="32" customHeight="1">
      <c r="A3" s="7" t="inlineStr">
        <is>
          <t>별칭</t>
        </is>
      </c>
      <c r="B3" s="7" t="inlineStr">
        <is>
          <t>A 점수
(0~10)</t>
        </is>
      </c>
      <c r="C3" s="8" t="inlineStr">
        <is>
          <t>B1 전</t>
        </is>
      </c>
      <c r="D3" s="8" t="inlineStr">
        <is>
          <t>B2 전</t>
        </is>
      </c>
      <c r="E3" s="8" t="inlineStr">
        <is>
          <t>B3 전</t>
        </is>
      </c>
      <c r="F3" s="8" t="inlineStr">
        <is>
          <t>B4 전</t>
        </is>
      </c>
      <c r="G3" s="8" t="inlineStr">
        <is>
          <t>B5 전</t>
        </is>
      </c>
      <c r="H3" s="8" t="inlineStr">
        <is>
          <t>B6 전</t>
        </is>
      </c>
      <c r="I3" s="8" t="inlineStr">
        <is>
          <t>B7 전</t>
        </is>
      </c>
      <c r="J3" s="8" t="inlineStr">
        <is>
          <t>B8 전</t>
        </is>
      </c>
      <c r="K3" s="8" t="inlineStr">
        <is>
          <t>B9 전</t>
        </is>
      </c>
      <c r="L3" s="9" t="inlineStr">
        <is>
          <t>B1 지금</t>
        </is>
      </c>
      <c r="M3" s="9" t="inlineStr">
        <is>
          <t>B2 지금</t>
        </is>
      </c>
      <c r="N3" s="9" t="inlineStr">
        <is>
          <t>B3 지금</t>
        </is>
      </c>
      <c r="O3" s="9" t="inlineStr">
        <is>
          <t>B4 지금</t>
        </is>
      </c>
      <c r="P3" s="9" t="inlineStr">
        <is>
          <t>B5 지금</t>
        </is>
      </c>
      <c r="Q3" s="9" t="inlineStr">
        <is>
          <t>B6 지금</t>
        </is>
      </c>
      <c r="R3" s="9" t="inlineStr">
        <is>
          <t>B7 지금</t>
        </is>
      </c>
      <c r="S3" s="9" t="inlineStr">
        <is>
          <t>B8 지금</t>
        </is>
      </c>
      <c r="T3" s="9" t="inlineStr">
        <is>
          <t>B9 지금</t>
        </is>
      </c>
      <c r="U3" s="8" t="inlineStr">
        <is>
          <t>C1 전</t>
        </is>
      </c>
      <c r="V3" s="8" t="inlineStr">
        <is>
          <t>C2 전</t>
        </is>
      </c>
      <c r="W3" s="8" t="inlineStr">
        <is>
          <t>C3 전</t>
        </is>
      </c>
      <c r="X3" s="8" t="inlineStr">
        <is>
          <t>C4 전</t>
        </is>
      </c>
      <c r="Y3" s="8" t="inlineStr">
        <is>
          <t>C5 전</t>
        </is>
      </c>
      <c r="Z3" s="8" t="inlineStr">
        <is>
          <t>C6 전</t>
        </is>
      </c>
      <c r="AA3" s="9" t="inlineStr">
        <is>
          <t>C1 지금</t>
        </is>
      </c>
      <c r="AB3" s="9" t="inlineStr">
        <is>
          <t>C2 지금</t>
        </is>
      </c>
      <c r="AC3" s="9" t="inlineStr">
        <is>
          <t>C3 지금</t>
        </is>
      </c>
      <c r="AD3" s="9" t="inlineStr">
        <is>
          <t>C4 지금</t>
        </is>
      </c>
      <c r="AE3" s="9" t="inlineStr">
        <is>
          <t>C5 지금</t>
        </is>
      </c>
      <c r="AF3" s="9" t="inlineStr">
        <is>
          <t>C6 지금</t>
        </is>
      </c>
      <c r="AG3" s="10" t="inlineStr">
        <is>
          <t>D①수준</t>
        </is>
      </c>
      <c r="AH3" s="10" t="inlineStr">
        <is>
          <t>D②수준</t>
        </is>
      </c>
      <c r="AI3" s="10" t="inlineStr">
        <is>
          <t>D③수준</t>
        </is>
      </c>
      <c r="AJ3" s="10" t="inlineStr">
        <is>
          <t>D④수준</t>
        </is>
      </c>
      <c r="AK3" s="11" t="inlineStr">
        <is>
          <t>B 전
평균</t>
        </is>
      </c>
      <c r="AL3" s="11" t="inlineStr">
        <is>
          <t>B 지금
평균</t>
        </is>
      </c>
      <c r="AM3" s="11" t="inlineStr">
        <is>
          <t>C 전
평균</t>
        </is>
      </c>
      <c r="AN3" s="11" t="inlineStr">
        <is>
          <t>C 지금
평균</t>
        </is>
      </c>
      <c r="AO3" s="11" t="inlineStr">
        <is>
          <t>B 변화
(지금−전)</t>
        </is>
      </c>
      <c r="AP3" s="11" t="inlineStr">
        <is>
          <t>C 변화
(지금−전)</t>
        </is>
      </c>
      <c r="AQ3" s="11" t="inlineStr">
        <is>
          <t>검정용
B 전(짝)</t>
        </is>
      </c>
      <c r="AR3" s="11" t="inlineStr">
        <is>
          <t>검정용
B 지금(짝)</t>
        </is>
      </c>
      <c r="AS3" s="11" t="inlineStr">
        <is>
          <t>검정용
C 전(짝)</t>
        </is>
      </c>
      <c r="AT3" s="11" t="inlineStr">
        <is>
          <t>검정용
C 지금(짝)</t>
        </is>
      </c>
    </row>
    <row r="4">
      <c r="A4" s="12" t="inlineStr">
        <is>
          <t>1모둠 바다</t>
        </is>
      </c>
      <c r="B4" s="13" t="n">
        <v>8</v>
      </c>
      <c r="C4" s="13" t="n">
        <v>2</v>
      </c>
      <c r="D4" s="13" t="n">
        <v>3</v>
      </c>
      <c r="E4" s="13" t="n">
        <v>2</v>
      </c>
      <c r="F4" s="13" t="n">
        <v>3</v>
      </c>
      <c r="G4" s="13" t="n">
        <v>3</v>
      </c>
      <c r="H4" s="13" t="n">
        <v>2</v>
      </c>
      <c r="I4" s="13" t="n">
        <v>2</v>
      </c>
      <c r="J4" s="13" t="n">
        <v>3</v>
      </c>
      <c r="K4" s="13" t="n">
        <v>3</v>
      </c>
      <c r="L4" s="13" t="n">
        <v>4</v>
      </c>
      <c r="M4" s="13" t="n">
        <v>4</v>
      </c>
      <c r="N4" s="13" t="n">
        <v>4</v>
      </c>
      <c r="O4" s="13" t="n">
        <v>4</v>
      </c>
      <c r="P4" s="13" t="n">
        <v>4</v>
      </c>
      <c r="Q4" s="13" t="n">
        <v>5</v>
      </c>
      <c r="R4" s="13" t="n">
        <v>4</v>
      </c>
      <c r="S4" s="13" t="n">
        <v>5</v>
      </c>
      <c r="T4" s="13" t="n">
        <v>4</v>
      </c>
      <c r="U4" s="13" t="n">
        <v>2</v>
      </c>
      <c r="V4" s="13" t="n">
        <v>2</v>
      </c>
      <c r="W4" s="13" t="n">
        <v>3</v>
      </c>
      <c r="X4" s="13" t="n">
        <v>2</v>
      </c>
      <c r="Y4" s="13" t="n">
        <v>3</v>
      </c>
      <c r="Z4" s="13" t="n">
        <v>2</v>
      </c>
      <c r="AA4" s="13" t="n">
        <v>4</v>
      </c>
      <c r="AB4" s="13" t="n">
        <v>4</v>
      </c>
      <c r="AC4" s="13" t="n">
        <v>4</v>
      </c>
      <c r="AD4" s="13" t="n">
        <v>4</v>
      </c>
      <c r="AE4" s="13" t="n">
        <v>5</v>
      </c>
      <c r="AF4" s="13" t="n">
        <v>5</v>
      </c>
      <c r="AG4" s="13" t="n">
        <v>3</v>
      </c>
      <c r="AH4" s="13" t="n">
        <v>3</v>
      </c>
      <c r="AI4" s="13" t="n">
        <v>3</v>
      </c>
      <c r="AJ4" s="13" t="n">
        <v>3</v>
      </c>
      <c r="AK4" s="14">
        <f>IF(COUNT(C4:K4)=0,"",AVERAGE(C4:K4))</f>
        <v/>
      </c>
      <c r="AL4" s="14">
        <f>IF(COUNT(L4:T4)=0,"",AVERAGE(L4:T4))</f>
        <v/>
      </c>
      <c r="AM4" s="14">
        <f>IF(COUNT(U4:Z4)=0,"",AVERAGE(U4:Z4))</f>
        <v/>
      </c>
      <c r="AN4" s="14">
        <f>IF(COUNT(AA4:AF4)=0,"",AVERAGE(AA4:AF4))</f>
        <v/>
      </c>
      <c r="AO4" s="14">
        <f>IF(OR(AK4="",AL4=""),"",AL4-AK4)</f>
        <v/>
      </c>
      <c r="AP4" s="14">
        <f>IF(OR(AM4="",AN4=""),"",AN4-AM4)</f>
        <v/>
      </c>
      <c r="AQ4" s="15">
        <f>IF(AO4="","",AK4)</f>
        <v/>
      </c>
      <c r="AR4" s="15">
        <f>IF(AO4="","",AL4)</f>
        <v/>
      </c>
      <c r="AS4" s="15">
        <f>IF(AP4="","",AM4)</f>
        <v/>
      </c>
      <c r="AT4" s="15">
        <f>IF(AP4="","",AN4)</f>
        <v/>
      </c>
    </row>
    <row r="5">
      <c r="A5" s="12" t="inlineStr">
        <is>
          <t>1모둠 하늘</t>
        </is>
      </c>
      <c r="B5" s="13" t="n">
        <v>6</v>
      </c>
      <c r="C5" s="13" t="n">
        <v>3</v>
      </c>
      <c r="D5" s="13" t="n">
        <v>3</v>
      </c>
      <c r="E5" s="13" t="n">
        <v>3</v>
      </c>
      <c r="F5" s="13" t="n">
        <v>4</v>
      </c>
      <c r="G5" s="13" t="n">
        <v>3</v>
      </c>
      <c r="H5" s="13" t="n">
        <v>3</v>
      </c>
      <c r="I5" s="13" t="n">
        <v>2</v>
      </c>
      <c r="J5" s="13" t="n">
        <v>3</v>
      </c>
      <c r="K5" s="13" t="n">
        <v>4</v>
      </c>
      <c r="L5" s="13" t="n">
        <v>4</v>
      </c>
      <c r="M5" s="13" t="n">
        <v>4</v>
      </c>
      <c r="N5" s="13" t="n">
        <v>4</v>
      </c>
      <c r="O5" s="13" t="n">
        <v>4</v>
      </c>
      <c r="P5" s="13" t="n">
        <v>4</v>
      </c>
      <c r="Q5" s="13" t="n">
        <v>4</v>
      </c>
      <c r="R5" s="13" t="n">
        <v>3</v>
      </c>
      <c r="S5" s="13" t="n">
        <v>4</v>
      </c>
      <c r="T5" s="13" t="n">
        <v>4</v>
      </c>
      <c r="U5" s="13" t="n">
        <v>3</v>
      </c>
      <c r="V5" s="13" t="n">
        <v>2</v>
      </c>
      <c r="W5" s="13" t="n">
        <v>3</v>
      </c>
      <c r="X5" s="13" t="n">
        <v>3</v>
      </c>
      <c r="Y5" s="13" t="n">
        <v>3</v>
      </c>
      <c r="Z5" s="13" t="n">
        <v>3</v>
      </c>
      <c r="AA5" s="13" t="n">
        <v>4</v>
      </c>
      <c r="AB5" s="13" t="n">
        <v>3</v>
      </c>
      <c r="AC5" s="13" t="n">
        <v>4</v>
      </c>
      <c r="AD5" s="13" t="n">
        <v>4</v>
      </c>
      <c r="AE5" s="13" t="n">
        <v>4</v>
      </c>
      <c r="AF5" s="13" t="n">
        <v>4</v>
      </c>
      <c r="AG5" s="13" t="n">
        <v>2</v>
      </c>
      <c r="AH5" s="13" t="n">
        <v>3</v>
      </c>
      <c r="AI5" s="13" t="n">
        <v>2</v>
      </c>
      <c r="AJ5" s="13" t="n">
        <v>3</v>
      </c>
      <c r="AK5" s="14">
        <f>IF(COUNT(C5:K5)=0,"",AVERAGE(C5:K5))</f>
        <v/>
      </c>
      <c r="AL5" s="14">
        <f>IF(COUNT(L5:T5)=0,"",AVERAGE(L5:T5))</f>
        <v/>
      </c>
      <c r="AM5" s="14">
        <f>IF(COUNT(U5:Z5)=0,"",AVERAGE(U5:Z5))</f>
        <v/>
      </c>
      <c r="AN5" s="14">
        <f>IF(COUNT(AA5:AF5)=0,"",AVERAGE(AA5:AF5))</f>
        <v/>
      </c>
      <c r="AO5" s="14">
        <f>IF(OR(AK5="",AL5=""),"",AL5-AK5)</f>
        <v/>
      </c>
      <c r="AP5" s="14">
        <f>IF(OR(AM5="",AN5=""),"",AN5-AM5)</f>
        <v/>
      </c>
      <c r="AQ5" s="15">
        <f>IF(AO5="","",AK5)</f>
        <v/>
      </c>
      <c r="AR5" s="15">
        <f>IF(AO5="","",AL5)</f>
        <v/>
      </c>
      <c r="AS5" s="15">
        <f>IF(AP5="","",AM5)</f>
        <v/>
      </c>
      <c r="AT5" s="15">
        <f>IF(AP5="","",AN5)</f>
        <v/>
      </c>
    </row>
    <row r="6">
      <c r="A6" s="12" t="inlineStr">
        <is>
          <t>2모둠 구름</t>
        </is>
      </c>
      <c r="B6" s="13" t="n">
        <v>9</v>
      </c>
      <c r="C6" s="13" t="n">
        <v>2</v>
      </c>
      <c r="D6" s="13" t="n">
        <v>2</v>
      </c>
      <c r="E6" s="13" t="n">
        <v>3</v>
      </c>
      <c r="F6" s="13" t="n">
        <v>3</v>
      </c>
      <c r="G6" s="13" t="n">
        <v>2</v>
      </c>
      <c r="H6" s="13" t="n">
        <v>3</v>
      </c>
      <c r="I6" s="13" t="n">
        <v>2</v>
      </c>
      <c r="J6" s="13" t="n">
        <v>2</v>
      </c>
      <c r="K6" s="13" t="n">
        <v>3</v>
      </c>
      <c r="L6" s="13" t="n">
        <v>5</v>
      </c>
      <c r="M6" s="13" t="n">
        <v>4</v>
      </c>
      <c r="N6" s="13" t="n">
        <v>4</v>
      </c>
      <c r="O6" s="13" t="n">
        <v>5</v>
      </c>
      <c r="P6" s="13" t="n">
        <v>5</v>
      </c>
      <c r="Q6" s="13" t="n">
        <v>4</v>
      </c>
      <c r="R6" s="13" t="n">
        <v>4</v>
      </c>
      <c r="S6" s="13" t="n">
        <v>4</v>
      </c>
      <c r="T6" s="13" t="n">
        <v>5</v>
      </c>
      <c r="U6" s="13" t="n">
        <v>2</v>
      </c>
      <c r="V6" s="13" t="n">
        <v>2</v>
      </c>
      <c r="W6" s="13" t="n">
        <v>2</v>
      </c>
      <c r="X6" s="13" t="n">
        <v>3</v>
      </c>
      <c r="Y6" s="13" t="n">
        <v>3</v>
      </c>
      <c r="Z6" s="13" t="n">
        <v>2</v>
      </c>
      <c r="AA6" s="13" t="n">
        <v>5</v>
      </c>
      <c r="AB6" s="13" t="n">
        <v>4</v>
      </c>
      <c r="AC6" s="13" t="n">
        <v>5</v>
      </c>
      <c r="AD6" s="13" t="n">
        <v>4</v>
      </c>
      <c r="AE6" s="13" t="n">
        <v>5</v>
      </c>
      <c r="AF6" s="13" t="n">
        <v>5</v>
      </c>
      <c r="AG6" s="13" t="n">
        <v>4</v>
      </c>
      <c r="AH6" s="13" t="n">
        <v>3</v>
      </c>
      <c r="AI6" s="13" t="n">
        <v>4</v>
      </c>
      <c r="AJ6" s="13" t="n">
        <v>4</v>
      </c>
      <c r="AK6" s="14">
        <f>IF(COUNT(C6:K6)=0,"",AVERAGE(C6:K6))</f>
        <v/>
      </c>
      <c r="AL6" s="14">
        <f>IF(COUNT(L6:T6)=0,"",AVERAGE(L6:T6))</f>
        <v/>
      </c>
      <c r="AM6" s="14">
        <f>IF(COUNT(U6:Z6)=0,"",AVERAGE(U6:Z6))</f>
        <v/>
      </c>
      <c r="AN6" s="14">
        <f>IF(COUNT(AA6:AF6)=0,"",AVERAGE(AA6:AF6))</f>
        <v/>
      </c>
      <c r="AO6" s="14">
        <f>IF(OR(AK6="",AL6=""),"",AL6-AK6)</f>
        <v/>
      </c>
      <c r="AP6" s="14">
        <f>IF(OR(AM6="",AN6=""),"",AN6-AM6)</f>
        <v/>
      </c>
      <c r="AQ6" s="15">
        <f>IF(AO6="","",AK6)</f>
        <v/>
      </c>
      <c r="AR6" s="15">
        <f>IF(AO6="","",AL6)</f>
        <v/>
      </c>
      <c r="AS6" s="15">
        <f>IF(AP6="","",AM6)</f>
        <v/>
      </c>
      <c r="AT6" s="15">
        <f>IF(AP6="","",AN6)</f>
        <v/>
      </c>
    </row>
    <row r="7">
      <c r="A7" s="16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4">
        <f>IF(COUNT(C7:K7)=0,"",AVERAGE(C7:K7))</f>
        <v/>
      </c>
      <c r="AL7" s="14">
        <f>IF(COUNT(L7:T7)=0,"",AVERAGE(L7:T7))</f>
        <v/>
      </c>
      <c r="AM7" s="14">
        <f>IF(COUNT(U7:Z7)=0,"",AVERAGE(U7:Z7))</f>
        <v/>
      </c>
      <c r="AN7" s="14">
        <f>IF(COUNT(AA7:AF7)=0,"",AVERAGE(AA7:AF7))</f>
        <v/>
      </c>
      <c r="AO7" s="14">
        <f>IF(OR(AK7="",AL7=""),"",AL7-AK7)</f>
        <v/>
      </c>
      <c r="AP7" s="14">
        <f>IF(OR(AM7="",AN7=""),"",AN7-AM7)</f>
        <v/>
      </c>
      <c r="AQ7" s="15">
        <f>IF(AO7="","",AK7)</f>
        <v/>
      </c>
      <c r="AR7" s="15">
        <f>IF(AO7="","",AL7)</f>
        <v/>
      </c>
      <c r="AS7" s="15">
        <f>IF(AP7="","",AM7)</f>
        <v/>
      </c>
      <c r="AT7" s="15">
        <f>IF(AP7="","",AN7)</f>
        <v/>
      </c>
    </row>
    <row r="8">
      <c r="A8" s="16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4">
        <f>IF(COUNT(C8:K8)=0,"",AVERAGE(C8:K8))</f>
        <v/>
      </c>
      <c r="AL8" s="14">
        <f>IF(COUNT(L8:T8)=0,"",AVERAGE(L8:T8))</f>
        <v/>
      </c>
      <c r="AM8" s="14">
        <f>IF(COUNT(U8:Z8)=0,"",AVERAGE(U8:Z8))</f>
        <v/>
      </c>
      <c r="AN8" s="14">
        <f>IF(COUNT(AA8:AF8)=0,"",AVERAGE(AA8:AF8))</f>
        <v/>
      </c>
      <c r="AO8" s="14">
        <f>IF(OR(AK8="",AL8=""),"",AL8-AK8)</f>
        <v/>
      </c>
      <c r="AP8" s="14">
        <f>IF(OR(AM8="",AN8=""),"",AN8-AM8)</f>
        <v/>
      </c>
      <c r="AQ8" s="15">
        <f>IF(AO8="","",AK8)</f>
        <v/>
      </c>
      <c r="AR8" s="15">
        <f>IF(AO8="","",AL8)</f>
        <v/>
      </c>
      <c r="AS8" s="15">
        <f>IF(AP8="","",AM8)</f>
        <v/>
      </c>
      <c r="AT8" s="15">
        <f>IF(AP8="","",AN8)</f>
        <v/>
      </c>
    </row>
    <row r="9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4">
        <f>IF(COUNT(C9:K9)=0,"",AVERAGE(C9:K9))</f>
        <v/>
      </c>
      <c r="AL9" s="14">
        <f>IF(COUNT(L9:T9)=0,"",AVERAGE(L9:T9))</f>
        <v/>
      </c>
      <c r="AM9" s="14">
        <f>IF(COUNT(U9:Z9)=0,"",AVERAGE(U9:Z9))</f>
        <v/>
      </c>
      <c r="AN9" s="14">
        <f>IF(COUNT(AA9:AF9)=0,"",AVERAGE(AA9:AF9))</f>
        <v/>
      </c>
      <c r="AO9" s="14">
        <f>IF(OR(AK9="",AL9=""),"",AL9-AK9)</f>
        <v/>
      </c>
      <c r="AP9" s="14">
        <f>IF(OR(AM9="",AN9=""),"",AN9-AM9)</f>
        <v/>
      </c>
      <c r="AQ9" s="15">
        <f>IF(AO9="","",AK9)</f>
        <v/>
      </c>
      <c r="AR9" s="15">
        <f>IF(AO9="","",AL9)</f>
        <v/>
      </c>
      <c r="AS9" s="15">
        <f>IF(AP9="","",AM9)</f>
        <v/>
      </c>
      <c r="AT9" s="15">
        <f>IF(AP9="","",AN9)</f>
        <v/>
      </c>
    </row>
    <row r="10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4">
        <f>IF(COUNT(C10:K10)=0,"",AVERAGE(C10:K10))</f>
        <v/>
      </c>
      <c r="AL10" s="14">
        <f>IF(COUNT(L10:T10)=0,"",AVERAGE(L10:T10))</f>
        <v/>
      </c>
      <c r="AM10" s="14">
        <f>IF(COUNT(U10:Z10)=0,"",AVERAGE(U10:Z10))</f>
        <v/>
      </c>
      <c r="AN10" s="14">
        <f>IF(COUNT(AA10:AF10)=0,"",AVERAGE(AA10:AF10))</f>
        <v/>
      </c>
      <c r="AO10" s="14">
        <f>IF(OR(AK10="",AL10=""),"",AL10-AK10)</f>
        <v/>
      </c>
      <c r="AP10" s="14">
        <f>IF(OR(AM10="",AN10=""),"",AN10-AM10)</f>
        <v/>
      </c>
      <c r="AQ10" s="15">
        <f>IF(AO10="","",AK10)</f>
        <v/>
      </c>
      <c r="AR10" s="15">
        <f>IF(AO10="","",AL10)</f>
        <v/>
      </c>
      <c r="AS10" s="15">
        <f>IF(AP10="","",AM10)</f>
        <v/>
      </c>
      <c r="AT10" s="15">
        <f>IF(AP10="","",AN10)</f>
        <v/>
      </c>
    </row>
    <row r="1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4">
        <f>IF(COUNT(C11:K11)=0,"",AVERAGE(C11:K11))</f>
        <v/>
      </c>
      <c r="AL11" s="14">
        <f>IF(COUNT(L11:T11)=0,"",AVERAGE(L11:T11))</f>
        <v/>
      </c>
      <c r="AM11" s="14">
        <f>IF(COUNT(U11:Z11)=0,"",AVERAGE(U11:Z11))</f>
        <v/>
      </c>
      <c r="AN11" s="14">
        <f>IF(COUNT(AA11:AF11)=0,"",AVERAGE(AA11:AF11))</f>
        <v/>
      </c>
      <c r="AO11" s="14">
        <f>IF(OR(AK11="",AL11=""),"",AL11-AK11)</f>
        <v/>
      </c>
      <c r="AP11" s="14">
        <f>IF(OR(AM11="",AN11=""),"",AN11-AM11)</f>
        <v/>
      </c>
      <c r="AQ11" s="15">
        <f>IF(AO11="","",AK11)</f>
        <v/>
      </c>
      <c r="AR11" s="15">
        <f>IF(AO11="","",AL11)</f>
        <v/>
      </c>
      <c r="AS11" s="15">
        <f>IF(AP11="","",AM11)</f>
        <v/>
      </c>
      <c r="AT11" s="15">
        <f>IF(AP11="","",AN11)</f>
        <v/>
      </c>
    </row>
    <row r="12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4">
        <f>IF(COUNT(C12:K12)=0,"",AVERAGE(C12:K12))</f>
        <v/>
      </c>
      <c r="AL12" s="14">
        <f>IF(COUNT(L12:T12)=0,"",AVERAGE(L12:T12))</f>
        <v/>
      </c>
      <c r="AM12" s="14">
        <f>IF(COUNT(U12:Z12)=0,"",AVERAGE(U12:Z12))</f>
        <v/>
      </c>
      <c r="AN12" s="14">
        <f>IF(COUNT(AA12:AF12)=0,"",AVERAGE(AA12:AF12))</f>
        <v/>
      </c>
      <c r="AO12" s="14">
        <f>IF(OR(AK12="",AL12=""),"",AL12-AK12)</f>
        <v/>
      </c>
      <c r="AP12" s="14">
        <f>IF(OR(AM12="",AN12=""),"",AN12-AM12)</f>
        <v/>
      </c>
      <c r="AQ12" s="15">
        <f>IF(AO12="","",AK12)</f>
        <v/>
      </c>
      <c r="AR12" s="15">
        <f>IF(AO12="","",AL12)</f>
        <v/>
      </c>
      <c r="AS12" s="15">
        <f>IF(AP12="","",AM12)</f>
        <v/>
      </c>
      <c r="AT12" s="15">
        <f>IF(AP12="","",AN12)</f>
        <v/>
      </c>
    </row>
    <row r="13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4">
        <f>IF(COUNT(C13:K13)=0,"",AVERAGE(C13:K13))</f>
        <v/>
      </c>
      <c r="AL13" s="14">
        <f>IF(COUNT(L13:T13)=0,"",AVERAGE(L13:T13))</f>
        <v/>
      </c>
      <c r="AM13" s="14">
        <f>IF(COUNT(U13:Z13)=0,"",AVERAGE(U13:Z13))</f>
        <v/>
      </c>
      <c r="AN13" s="14">
        <f>IF(COUNT(AA13:AF13)=0,"",AVERAGE(AA13:AF13))</f>
        <v/>
      </c>
      <c r="AO13" s="14">
        <f>IF(OR(AK13="",AL13=""),"",AL13-AK13)</f>
        <v/>
      </c>
      <c r="AP13" s="14">
        <f>IF(OR(AM13="",AN13=""),"",AN13-AM13)</f>
        <v/>
      </c>
      <c r="AQ13" s="15">
        <f>IF(AO13="","",AK13)</f>
        <v/>
      </c>
      <c r="AR13" s="15">
        <f>IF(AO13="","",AL13)</f>
        <v/>
      </c>
      <c r="AS13" s="15">
        <f>IF(AP13="","",AM13)</f>
        <v/>
      </c>
      <c r="AT13" s="15">
        <f>IF(AP13="","",AN13)</f>
        <v/>
      </c>
    </row>
    <row r="14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4">
        <f>IF(COUNT(C14:K14)=0,"",AVERAGE(C14:K14))</f>
        <v/>
      </c>
      <c r="AL14" s="14">
        <f>IF(COUNT(L14:T14)=0,"",AVERAGE(L14:T14))</f>
        <v/>
      </c>
      <c r="AM14" s="14">
        <f>IF(COUNT(U14:Z14)=0,"",AVERAGE(U14:Z14))</f>
        <v/>
      </c>
      <c r="AN14" s="14">
        <f>IF(COUNT(AA14:AF14)=0,"",AVERAGE(AA14:AF14))</f>
        <v/>
      </c>
      <c r="AO14" s="14">
        <f>IF(OR(AK14="",AL14=""),"",AL14-AK14)</f>
        <v/>
      </c>
      <c r="AP14" s="14">
        <f>IF(OR(AM14="",AN14=""),"",AN14-AM14)</f>
        <v/>
      </c>
      <c r="AQ14" s="15">
        <f>IF(AO14="","",AK14)</f>
        <v/>
      </c>
      <c r="AR14" s="15">
        <f>IF(AO14="","",AL14)</f>
        <v/>
      </c>
      <c r="AS14" s="15">
        <f>IF(AP14="","",AM14)</f>
        <v/>
      </c>
      <c r="AT14" s="15">
        <f>IF(AP14="","",AN14)</f>
        <v/>
      </c>
    </row>
    <row r="15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4">
        <f>IF(COUNT(C15:K15)=0,"",AVERAGE(C15:K15))</f>
        <v/>
      </c>
      <c r="AL15" s="14">
        <f>IF(COUNT(L15:T15)=0,"",AVERAGE(L15:T15))</f>
        <v/>
      </c>
      <c r="AM15" s="14">
        <f>IF(COUNT(U15:Z15)=0,"",AVERAGE(U15:Z15))</f>
        <v/>
      </c>
      <c r="AN15" s="14">
        <f>IF(COUNT(AA15:AF15)=0,"",AVERAGE(AA15:AF15))</f>
        <v/>
      </c>
      <c r="AO15" s="14">
        <f>IF(OR(AK15="",AL15=""),"",AL15-AK15)</f>
        <v/>
      </c>
      <c r="AP15" s="14">
        <f>IF(OR(AM15="",AN15=""),"",AN15-AM15)</f>
        <v/>
      </c>
      <c r="AQ15" s="15">
        <f>IF(AO15="","",AK15)</f>
        <v/>
      </c>
      <c r="AR15" s="15">
        <f>IF(AO15="","",AL15)</f>
        <v/>
      </c>
      <c r="AS15" s="15">
        <f>IF(AP15="","",AM15)</f>
        <v/>
      </c>
      <c r="AT15" s="15">
        <f>IF(AP15="","",AN15)</f>
        <v/>
      </c>
    </row>
    <row r="16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4">
        <f>IF(COUNT(C16:K16)=0,"",AVERAGE(C16:K16))</f>
        <v/>
      </c>
      <c r="AL16" s="14">
        <f>IF(COUNT(L16:T16)=0,"",AVERAGE(L16:T16))</f>
        <v/>
      </c>
      <c r="AM16" s="14">
        <f>IF(COUNT(U16:Z16)=0,"",AVERAGE(U16:Z16))</f>
        <v/>
      </c>
      <c r="AN16" s="14">
        <f>IF(COUNT(AA16:AF16)=0,"",AVERAGE(AA16:AF16))</f>
        <v/>
      </c>
      <c r="AO16" s="14">
        <f>IF(OR(AK16="",AL16=""),"",AL16-AK16)</f>
        <v/>
      </c>
      <c r="AP16" s="14">
        <f>IF(OR(AM16="",AN16=""),"",AN16-AM16)</f>
        <v/>
      </c>
      <c r="AQ16" s="15">
        <f>IF(AO16="","",AK16)</f>
        <v/>
      </c>
      <c r="AR16" s="15">
        <f>IF(AO16="","",AL16)</f>
        <v/>
      </c>
      <c r="AS16" s="15">
        <f>IF(AP16="","",AM16)</f>
        <v/>
      </c>
      <c r="AT16" s="15">
        <f>IF(AP16="","",AN16)</f>
        <v/>
      </c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4">
        <f>IF(COUNT(C17:K17)=0,"",AVERAGE(C17:K17))</f>
        <v/>
      </c>
      <c r="AL17" s="14">
        <f>IF(COUNT(L17:T17)=0,"",AVERAGE(L17:T17))</f>
        <v/>
      </c>
      <c r="AM17" s="14">
        <f>IF(COUNT(U17:Z17)=0,"",AVERAGE(U17:Z17))</f>
        <v/>
      </c>
      <c r="AN17" s="14">
        <f>IF(COUNT(AA17:AF17)=0,"",AVERAGE(AA17:AF17))</f>
        <v/>
      </c>
      <c r="AO17" s="14">
        <f>IF(OR(AK17="",AL17=""),"",AL17-AK17)</f>
        <v/>
      </c>
      <c r="AP17" s="14">
        <f>IF(OR(AM17="",AN17=""),"",AN17-AM17)</f>
        <v/>
      </c>
      <c r="AQ17" s="15">
        <f>IF(AO17="","",AK17)</f>
        <v/>
      </c>
      <c r="AR17" s="15">
        <f>IF(AO17="","",AL17)</f>
        <v/>
      </c>
      <c r="AS17" s="15">
        <f>IF(AP17="","",AM17)</f>
        <v/>
      </c>
      <c r="AT17" s="15">
        <f>IF(AP17="","",AN17)</f>
        <v/>
      </c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4">
        <f>IF(COUNT(C18:K18)=0,"",AVERAGE(C18:K18))</f>
        <v/>
      </c>
      <c r="AL18" s="14">
        <f>IF(COUNT(L18:T18)=0,"",AVERAGE(L18:T18))</f>
        <v/>
      </c>
      <c r="AM18" s="14">
        <f>IF(COUNT(U18:Z18)=0,"",AVERAGE(U18:Z18))</f>
        <v/>
      </c>
      <c r="AN18" s="14">
        <f>IF(COUNT(AA18:AF18)=0,"",AVERAGE(AA18:AF18))</f>
        <v/>
      </c>
      <c r="AO18" s="14">
        <f>IF(OR(AK18="",AL18=""),"",AL18-AK18)</f>
        <v/>
      </c>
      <c r="AP18" s="14">
        <f>IF(OR(AM18="",AN18=""),"",AN18-AM18)</f>
        <v/>
      </c>
      <c r="AQ18" s="15">
        <f>IF(AO18="","",AK18)</f>
        <v/>
      </c>
      <c r="AR18" s="15">
        <f>IF(AO18="","",AL18)</f>
        <v/>
      </c>
      <c r="AS18" s="15">
        <f>IF(AP18="","",AM18)</f>
        <v/>
      </c>
      <c r="AT18" s="15">
        <f>IF(AP18="","",AN18)</f>
        <v/>
      </c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4">
        <f>IF(COUNT(C19:K19)=0,"",AVERAGE(C19:K19))</f>
        <v/>
      </c>
      <c r="AL19" s="14">
        <f>IF(COUNT(L19:T19)=0,"",AVERAGE(L19:T19))</f>
        <v/>
      </c>
      <c r="AM19" s="14">
        <f>IF(COUNT(U19:Z19)=0,"",AVERAGE(U19:Z19))</f>
        <v/>
      </c>
      <c r="AN19" s="14">
        <f>IF(COUNT(AA19:AF19)=0,"",AVERAGE(AA19:AF19))</f>
        <v/>
      </c>
      <c r="AO19" s="14">
        <f>IF(OR(AK19="",AL19=""),"",AL19-AK19)</f>
        <v/>
      </c>
      <c r="AP19" s="14">
        <f>IF(OR(AM19="",AN19=""),"",AN19-AM19)</f>
        <v/>
      </c>
      <c r="AQ19" s="15">
        <f>IF(AO19="","",AK19)</f>
        <v/>
      </c>
      <c r="AR19" s="15">
        <f>IF(AO19="","",AL19)</f>
        <v/>
      </c>
      <c r="AS19" s="15">
        <f>IF(AP19="","",AM19)</f>
        <v/>
      </c>
      <c r="AT19" s="15">
        <f>IF(AP19="","",AN19)</f>
        <v/>
      </c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4">
        <f>IF(COUNT(C20:K20)=0,"",AVERAGE(C20:K20))</f>
        <v/>
      </c>
      <c r="AL20" s="14">
        <f>IF(COUNT(L20:T20)=0,"",AVERAGE(L20:T20))</f>
        <v/>
      </c>
      <c r="AM20" s="14">
        <f>IF(COUNT(U20:Z20)=0,"",AVERAGE(U20:Z20))</f>
        <v/>
      </c>
      <c r="AN20" s="14">
        <f>IF(COUNT(AA20:AF20)=0,"",AVERAGE(AA20:AF20))</f>
        <v/>
      </c>
      <c r="AO20" s="14">
        <f>IF(OR(AK20="",AL20=""),"",AL20-AK20)</f>
        <v/>
      </c>
      <c r="AP20" s="14">
        <f>IF(OR(AM20="",AN20=""),"",AN20-AM20)</f>
        <v/>
      </c>
      <c r="AQ20" s="15">
        <f>IF(AO20="","",AK20)</f>
        <v/>
      </c>
      <c r="AR20" s="15">
        <f>IF(AO20="","",AL20)</f>
        <v/>
      </c>
      <c r="AS20" s="15">
        <f>IF(AP20="","",AM20)</f>
        <v/>
      </c>
      <c r="AT20" s="15">
        <f>IF(AP20="","",AN20)</f>
        <v/>
      </c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4">
        <f>IF(COUNT(C21:K21)=0,"",AVERAGE(C21:K21))</f>
        <v/>
      </c>
      <c r="AL21" s="14">
        <f>IF(COUNT(L21:T21)=0,"",AVERAGE(L21:T21))</f>
        <v/>
      </c>
      <c r="AM21" s="14">
        <f>IF(COUNT(U21:Z21)=0,"",AVERAGE(U21:Z21))</f>
        <v/>
      </c>
      <c r="AN21" s="14">
        <f>IF(COUNT(AA21:AF21)=0,"",AVERAGE(AA21:AF21))</f>
        <v/>
      </c>
      <c r="AO21" s="14">
        <f>IF(OR(AK21="",AL21=""),"",AL21-AK21)</f>
        <v/>
      </c>
      <c r="AP21" s="14">
        <f>IF(OR(AM21="",AN21=""),"",AN21-AM21)</f>
        <v/>
      </c>
      <c r="AQ21" s="15">
        <f>IF(AO21="","",AK21)</f>
        <v/>
      </c>
      <c r="AR21" s="15">
        <f>IF(AO21="","",AL21)</f>
        <v/>
      </c>
      <c r="AS21" s="15">
        <f>IF(AP21="","",AM21)</f>
        <v/>
      </c>
      <c r="AT21" s="15">
        <f>IF(AP21="","",AN21)</f>
        <v/>
      </c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4">
        <f>IF(COUNT(C22:K22)=0,"",AVERAGE(C22:K22))</f>
        <v/>
      </c>
      <c r="AL22" s="14">
        <f>IF(COUNT(L22:T22)=0,"",AVERAGE(L22:T22))</f>
        <v/>
      </c>
      <c r="AM22" s="14">
        <f>IF(COUNT(U22:Z22)=0,"",AVERAGE(U22:Z22))</f>
        <v/>
      </c>
      <c r="AN22" s="14">
        <f>IF(COUNT(AA22:AF22)=0,"",AVERAGE(AA22:AF22))</f>
        <v/>
      </c>
      <c r="AO22" s="14">
        <f>IF(OR(AK22="",AL22=""),"",AL22-AK22)</f>
        <v/>
      </c>
      <c r="AP22" s="14">
        <f>IF(OR(AM22="",AN22=""),"",AN22-AM22)</f>
        <v/>
      </c>
      <c r="AQ22" s="15">
        <f>IF(AO22="","",AK22)</f>
        <v/>
      </c>
      <c r="AR22" s="15">
        <f>IF(AO22="","",AL22)</f>
        <v/>
      </c>
      <c r="AS22" s="15">
        <f>IF(AP22="","",AM22)</f>
        <v/>
      </c>
      <c r="AT22" s="15">
        <f>IF(AP22="","",AN22)</f>
        <v/>
      </c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4">
        <f>IF(COUNT(C23:K23)=0,"",AVERAGE(C23:K23))</f>
        <v/>
      </c>
      <c r="AL23" s="14">
        <f>IF(COUNT(L23:T23)=0,"",AVERAGE(L23:T23))</f>
        <v/>
      </c>
      <c r="AM23" s="14">
        <f>IF(COUNT(U23:Z23)=0,"",AVERAGE(U23:Z23))</f>
        <v/>
      </c>
      <c r="AN23" s="14">
        <f>IF(COUNT(AA23:AF23)=0,"",AVERAGE(AA23:AF23))</f>
        <v/>
      </c>
      <c r="AO23" s="14">
        <f>IF(OR(AK23="",AL23=""),"",AL23-AK23)</f>
        <v/>
      </c>
      <c r="AP23" s="14">
        <f>IF(OR(AM23="",AN23=""),"",AN23-AM23)</f>
        <v/>
      </c>
      <c r="AQ23" s="15">
        <f>IF(AO23="","",AK23)</f>
        <v/>
      </c>
      <c r="AR23" s="15">
        <f>IF(AO23="","",AL23)</f>
        <v/>
      </c>
      <c r="AS23" s="15">
        <f>IF(AP23="","",AM23)</f>
        <v/>
      </c>
      <c r="AT23" s="15">
        <f>IF(AP23="","",AN23)</f>
        <v/>
      </c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4">
        <f>IF(COUNT(C24:K24)=0,"",AVERAGE(C24:K24))</f>
        <v/>
      </c>
      <c r="AL24" s="14">
        <f>IF(COUNT(L24:T24)=0,"",AVERAGE(L24:T24))</f>
        <v/>
      </c>
      <c r="AM24" s="14">
        <f>IF(COUNT(U24:Z24)=0,"",AVERAGE(U24:Z24))</f>
        <v/>
      </c>
      <c r="AN24" s="14">
        <f>IF(COUNT(AA24:AF24)=0,"",AVERAGE(AA24:AF24))</f>
        <v/>
      </c>
      <c r="AO24" s="14">
        <f>IF(OR(AK24="",AL24=""),"",AL24-AK24)</f>
        <v/>
      </c>
      <c r="AP24" s="14">
        <f>IF(OR(AM24="",AN24=""),"",AN24-AM24)</f>
        <v/>
      </c>
      <c r="AQ24" s="15">
        <f>IF(AO24="","",AK24)</f>
        <v/>
      </c>
      <c r="AR24" s="15">
        <f>IF(AO24="","",AL24)</f>
        <v/>
      </c>
      <c r="AS24" s="15">
        <f>IF(AP24="","",AM24)</f>
        <v/>
      </c>
      <c r="AT24" s="15">
        <f>IF(AP24="","",AN24)</f>
        <v/>
      </c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4">
        <f>IF(COUNT(C25:K25)=0,"",AVERAGE(C25:K25))</f>
        <v/>
      </c>
      <c r="AL25" s="14">
        <f>IF(COUNT(L25:T25)=0,"",AVERAGE(L25:T25))</f>
        <v/>
      </c>
      <c r="AM25" s="14">
        <f>IF(COUNT(U25:Z25)=0,"",AVERAGE(U25:Z25))</f>
        <v/>
      </c>
      <c r="AN25" s="14">
        <f>IF(COUNT(AA25:AF25)=0,"",AVERAGE(AA25:AF25))</f>
        <v/>
      </c>
      <c r="AO25" s="14">
        <f>IF(OR(AK25="",AL25=""),"",AL25-AK25)</f>
        <v/>
      </c>
      <c r="AP25" s="14">
        <f>IF(OR(AM25="",AN25=""),"",AN25-AM25)</f>
        <v/>
      </c>
      <c r="AQ25" s="15">
        <f>IF(AO25="","",AK25)</f>
        <v/>
      </c>
      <c r="AR25" s="15">
        <f>IF(AO25="","",AL25)</f>
        <v/>
      </c>
      <c r="AS25" s="15">
        <f>IF(AP25="","",AM25)</f>
        <v/>
      </c>
      <c r="AT25" s="15">
        <f>IF(AP25="","",AN25)</f>
        <v/>
      </c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4">
        <f>IF(COUNT(C26:K26)=0,"",AVERAGE(C26:K26))</f>
        <v/>
      </c>
      <c r="AL26" s="14">
        <f>IF(COUNT(L26:T26)=0,"",AVERAGE(L26:T26))</f>
        <v/>
      </c>
      <c r="AM26" s="14">
        <f>IF(COUNT(U26:Z26)=0,"",AVERAGE(U26:Z26))</f>
        <v/>
      </c>
      <c r="AN26" s="14">
        <f>IF(COUNT(AA26:AF26)=0,"",AVERAGE(AA26:AF26))</f>
        <v/>
      </c>
      <c r="AO26" s="14">
        <f>IF(OR(AK26="",AL26=""),"",AL26-AK26)</f>
        <v/>
      </c>
      <c r="AP26" s="14">
        <f>IF(OR(AM26="",AN26=""),"",AN26-AM26)</f>
        <v/>
      </c>
      <c r="AQ26" s="15">
        <f>IF(AO26="","",AK26)</f>
        <v/>
      </c>
      <c r="AR26" s="15">
        <f>IF(AO26="","",AL26)</f>
        <v/>
      </c>
      <c r="AS26" s="15">
        <f>IF(AP26="","",AM26)</f>
        <v/>
      </c>
      <c r="AT26" s="15">
        <f>IF(AP26="","",AN26)</f>
        <v/>
      </c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4">
        <f>IF(COUNT(C27:K27)=0,"",AVERAGE(C27:K27))</f>
        <v/>
      </c>
      <c r="AL27" s="14">
        <f>IF(COUNT(L27:T27)=0,"",AVERAGE(L27:T27))</f>
        <v/>
      </c>
      <c r="AM27" s="14">
        <f>IF(COUNT(U27:Z27)=0,"",AVERAGE(U27:Z27))</f>
        <v/>
      </c>
      <c r="AN27" s="14">
        <f>IF(COUNT(AA27:AF27)=0,"",AVERAGE(AA27:AF27))</f>
        <v/>
      </c>
      <c r="AO27" s="14">
        <f>IF(OR(AK27="",AL27=""),"",AL27-AK27)</f>
        <v/>
      </c>
      <c r="AP27" s="14">
        <f>IF(OR(AM27="",AN27=""),"",AN27-AM27)</f>
        <v/>
      </c>
      <c r="AQ27" s="15">
        <f>IF(AO27="","",AK27)</f>
        <v/>
      </c>
      <c r="AR27" s="15">
        <f>IF(AO27="","",AL27)</f>
        <v/>
      </c>
      <c r="AS27" s="15">
        <f>IF(AP27="","",AM27)</f>
        <v/>
      </c>
      <c r="AT27" s="15">
        <f>IF(AP27="","",AN27)</f>
        <v/>
      </c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4">
        <f>IF(COUNT(C28:K28)=0,"",AVERAGE(C28:K28))</f>
        <v/>
      </c>
      <c r="AL28" s="14">
        <f>IF(COUNT(L28:T28)=0,"",AVERAGE(L28:T28))</f>
        <v/>
      </c>
      <c r="AM28" s="14">
        <f>IF(COUNT(U28:Z28)=0,"",AVERAGE(U28:Z28))</f>
        <v/>
      </c>
      <c r="AN28" s="14">
        <f>IF(COUNT(AA28:AF28)=0,"",AVERAGE(AA28:AF28))</f>
        <v/>
      </c>
      <c r="AO28" s="14">
        <f>IF(OR(AK28="",AL28=""),"",AL28-AK28)</f>
        <v/>
      </c>
      <c r="AP28" s="14">
        <f>IF(OR(AM28="",AN28=""),"",AN28-AM28)</f>
        <v/>
      </c>
      <c r="AQ28" s="15">
        <f>IF(AO28="","",AK28)</f>
        <v/>
      </c>
      <c r="AR28" s="15">
        <f>IF(AO28="","",AL28)</f>
        <v/>
      </c>
      <c r="AS28" s="15">
        <f>IF(AP28="","",AM28)</f>
        <v/>
      </c>
      <c r="AT28" s="15">
        <f>IF(AP28="","",AN28)</f>
        <v/>
      </c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4">
        <f>IF(COUNT(C29:K29)=0,"",AVERAGE(C29:K29))</f>
        <v/>
      </c>
      <c r="AL29" s="14">
        <f>IF(COUNT(L29:T29)=0,"",AVERAGE(L29:T29))</f>
        <v/>
      </c>
      <c r="AM29" s="14">
        <f>IF(COUNT(U29:Z29)=0,"",AVERAGE(U29:Z29))</f>
        <v/>
      </c>
      <c r="AN29" s="14">
        <f>IF(COUNT(AA29:AF29)=0,"",AVERAGE(AA29:AF29))</f>
        <v/>
      </c>
      <c r="AO29" s="14">
        <f>IF(OR(AK29="",AL29=""),"",AL29-AK29)</f>
        <v/>
      </c>
      <c r="AP29" s="14">
        <f>IF(OR(AM29="",AN29=""),"",AN29-AM29)</f>
        <v/>
      </c>
      <c r="AQ29" s="15">
        <f>IF(AO29="","",AK29)</f>
        <v/>
      </c>
      <c r="AR29" s="15">
        <f>IF(AO29="","",AL29)</f>
        <v/>
      </c>
      <c r="AS29" s="15">
        <f>IF(AP29="","",AM29)</f>
        <v/>
      </c>
      <c r="AT29" s="15">
        <f>IF(AP29="","",AN29)</f>
        <v/>
      </c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4">
        <f>IF(COUNT(C30:K30)=0,"",AVERAGE(C30:K30))</f>
        <v/>
      </c>
      <c r="AL30" s="14">
        <f>IF(COUNT(L30:T30)=0,"",AVERAGE(L30:T30))</f>
        <v/>
      </c>
      <c r="AM30" s="14">
        <f>IF(COUNT(U30:Z30)=0,"",AVERAGE(U30:Z30))</f>
        <v/>
      </c>
      <c r="AN30" s="14">
        <f>IF(COUNT(AA30:AF30)=0,"",AVERAGE(AA30:AF30))</f>
        <v/>
      </c>
      <c r="AO30" s="14">
        <f>IF(OR(AK30="",AL30=""),"",AL30-AK30)</f>
        <v/>
      </c>
      <c r="AP30" s="14">
        <f>IF(OR(AM30="",AN30=""),"",AN30-AM30)</f>
        <v/>
      </c>
      <c r="AQ30" s="15">
        <f>IF(AO30="","",AK30)</f>
        <v/>
      </c>
      <c r="AR30" s="15">
        <f>IF(AO30="","",AL30)</f>
        <v/>
      </c>
      <c r="AS30" s="15">
        <f>IF(AP30="","",AM30)</f>
        <v/>
      </c>
      <c r="AT30" s="15">
        <f>IF(AP30="","",AN30)</f>
        <v/>
      </c>
    </row>
    <row r="3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4">
        <f>IF(COUNT(C31:K31)=0,"",AVERAGE(C31:K31))</f>
        <v/>
      </c>
      <c r="AL31" s="14">
        <f>IF(COUNT(L31:T31)=0,"",AVERAGE(L31:T31))</f>
        <v/>
      </c>
      <c r="AM31" s="14">
        <f>IF(COUNT(U31:Z31)=0,"",AVERAGE(U31:Z31))</f>
        <v/>
      </c>
      <c r="AN31" s="14">
        <f>IF(COUNT(AA31:AF31)=0,"",AVERAGE(AA31:AF31))</f>
        <v/>
      </c>
      <c r="AO31" s="14">
        <f>IF(OR(AK31="",AL31=""),"",AL31-AK31)</f>
        <v/>
      </c>
      <c r="AP31" s="14">
        <f>IF(OR(AM31="",AN31=""),"",AN31-AM31)</f>
        <v/>
      </c>
      <c r="AQ31" s="15">
        <f>IF(AO31="","",AK31)</f>
        <v/>
      </c>
      <c r="AR31" s="15">
        <f>IF(AO31="","",AL31)</f>
        <v/>
      </c>
      <c r="AS31" s="15">
        <f>IF(AP31="","",AM31)</f>
        <v/>
      </c>
      <c r="AT31" s="15">
        <f>IF(AP31="","",AN31)</f>
        <v/>
      </c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4">
        <f>IF(COUNT(C32:K32)=0,"",AVERAGE(C32:K32))</f>
        <v/>
      </c>
      <c r="AL32" s="14">
        <f>IF(COUNT(L32:T32)=0,"",AVERAGE(L32:T32))</f>
        <v/>
      </c>
      <c r="AM32" s="14">
        <f>IF(COUNT(U32:Z32)=0,"",AVERAGE(U32:Z32))</f>
        <v/>
      </c>
      <c r="AN32" s="14">
        <f>IF(COUNT(AA32:AF32)=0,"",AVERAGE(AA32:AF32))</f>
        <v/>
      </c>
      <c r="AO32" s="14">
        <f>IF(OR(AK32="",AL32=""),"",AL32-AK32)</f>
        <v/>
      </c>
      <c r="AP32" s="14">
        <f>IF(OR(AM32="",AN32=""),"",AN32-AM32)</f>
        <v/>
      </c>
      <c r="AQ32" s="15">
        <f>IF(AO32="","",AK32)</f>
        <v/>
      </c>
      <c r="AR32" s="15">
        <f>IF(AO32="","",AL32)</f>
        <v/>
      </c>
      <c r="AS32" s="15">
        <f>IF(AP32="","",AM32)</f>
        <v/>
      </c>
      <c r="AT32" s="15">
        <f>IF(AP32="","",AN32)</f>
        <v/>
      </c>
    </row>
    <row r="33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4">
        <f>IF(COUNT(C33:K33)=0,"",AVERAGE(C33:K33))</f>
        <v/>
      </c>
      <c r="AL33" s="14">
        <f>IF(COUNT(L33:T33)=0,"",AVERAGE(L33:T33))</f>
        <v/>
      </c>
      <c r="AM33" s="14">
        <f>IF(COUNT(U33:Z33)=0,"",AVERAGE(U33:Z33))</f>
        <v/>
      </c>
      <c r="AN33" s="14">
        <f>IF(COUNT(AA33:AF33)=0,"",AVERAGE(AA33:AF33))</f>
        <v/>
      </c>
      <c r="AO33" s="14">
        <f>IF(OR(AK33="",AL33=""),"",AL33-AK33)</f>
        <v/>
      </c>
      <c r="AP33" s="14">
        <f>IF(OR(AM33="",AN33=""),"",AN33-AM33)</f>
        <v/>
      </c>
      <c r="AQ33" s="15">
        <f>IF(AO33="","",AK33)</f>
        <v/>
      </c>
      <c r="AR33" s="15">
        <f>IF(AO33="","",AL33)</f>
        <v/>
      </c>
      <c r="AS33" s="15">
        <f>IF(AP33="","",AM33)</f>
        <v/>
      </c>
      <c r="AT33" s="15">
        <f>IF(AP33="","",AN33)</f>
        <v/>
      </c>
    </row>
  </sheetData>
  <dataValidations count="3">
    <dataValidation sqref="C4:AF33" showDropDown="0" showInputMessage="0" showErrorMessage="1" allowBlank="1" errorTitle="입력 오류" error="1~5 사이의 숫자를 입력하세요." type="whole" operator="between">
      <formula1>1</formula1>
      <formula2>5</formula2>
    </dataValidation>
    <dataValidation sqref="B4:B33" showDropDown="0" showInputMessage="0" showErrorMessage="1" allowBlank="1" errorTitle="입력 오류" error="0~10 사이의 숫자를 입력하세요." type="whole" operator="between">
      <formula1>0</formula1>
      <formula2>10</formula2>
    </dataValidation>
    <dataValidation sqref="AG4:AJ33" showDropDown="0" showInputMessage="0" showErrorMessage="1" allowBlank="1" errorTitle="입력 오류" error="0(무응답)~4 사이의 숫자를 입력하세요." type="whole" operator="between">
      <formula1>0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회고결과 — 회고적 사전·사후(then-test) 분석</t>
        </is>
      </c>
    </row>
    <row r="2">
      <c r="A2" s="6" t="inlineStr">
        <is>
          <t>회고입력 시트에서 자동 계산됩니다. 손으로 고치지 마세요. 수업 전·지금을 모두 답한 학생(짝)만 계산에 들어갑니다. p는 양측 검정, d는 두 시점 표준편차의 합동값으로 나눈 Cohen's d입니다.</t>
        </is>
      </c>
    </row>
    <row r="4" ht="30" customHeight="1">
      <c r="A4" s="7" t="inlineStr">
        <is>
          <t>영역</t>
        </is>
      </c>
      <c r="B4" s="7" t="inlineStr">
        <is>
          <t>N</t>
        </is>
      </c>
      <c r="C4" s="7" t="inlineStr">
        <is>
          <t>수업 전 평균</t>
        </is>
      </c>
      <c r="D4" s="7" t="inlineStr">
        <is>
          <t>수업 전 SD</t>
        </is>
      </c>
      <c r="E4" s="7" t="inlineStr">
        <is>
          <t>지금 평균</t>
        </is>
      </c>
      <c r="F4" s="7" t="inlineStr">
        <is>
          <t>지금 SD</t>
        </is>
      </c>
      <c r="G4" s="7" t="inlineStr">
        <is>
          <t>변화(지금−전)</t>
        </is>
      </c>
      <c r="H4" s="7" t="inlineStr">
        <is>
          <t>t</t>
        </is>
      </c>
      <c r="I4" s="7" t="inlineStr">
        <is>
          <t>p (대응 T.TEST)</t>
        </is>
      </c>
      <c r="J4" s="7" t="inlineStr">
        <is>
          <t>Cohen's d</t>
        </is>
      </c>
    </row>
    <row r="5">
      <c r="A5" s="18" t="inlineStr">
        <is>
          <t>B. 마음 알기 (9문항 평균, 1~5)</t>
        </is>
      </c>
      <c r="B5" s="17">
        <f>COUNT(회고입력!$AO$4:$AO$33)</f>
        <v/>
      </c>
      <c r="C5" s="19">
        <f>IF(B5&lt;2,"",AVERAGE(회고입력!$AQ$4:$AQ$33))</f>
        <v/>
      </c>
      <c r="D5" s="19">
        <f>IF(B5&lt;2,"",_xlfn.STDEV.S(회고입력!$AQ$4:$AQ$33))</f>
        <v/>
      </c>
      <c r="E5" s="19">
        <f>IF(B5&lt;2,"",AVERAGE(회고입력!$AR$4:$AR$33))</f>
        <v/>
      </c>
      <c r="F5" s="19">
        <f>IF(B5&lt;2,"",_xlfn.STDEV.S(회고입력!$AR$4:$AR$33))</f>
        <v/>
      </c>
      <c r="G5" s="19">
        <f>IF(B5&lt;2,"",AVERAGE(회고입력!$AO$4:$AO$33))</f>
        <v/>
      </c>
      <c r="H5" s="19">
        <f>IF(OR(B5&lt;2,_xlfn.STDEV.S(회고입력!$AO$4:$AO$33)=0),"",AVERAGE(회고입력!$AO$4:$AO$33)/(_xlfn.STDEV.S(회고입력!$AO$4:$AO$33)/SQRT(B5)))</f>
        <v/>
      </c>
      <c r="I5" s="20">
        <f>IF(OR(B5&lt;2,_xlfn.STDEV.S(회고입력!$AO$4:$AO$33)=0),"",_xlfn.T.TEST(회고입력!$AQ$4:$AQ$33,회고입력!$AR$4:$AR$33,2,1))</f>
        <v/>
      </c>
      <c r="J5" s="19">
        <f>IF(OR(B5&lt;2,SQRT((D5^2+F5^2)/2)=0),"",G5/SQRT((D5^2+F5^2)/2))</f>
        <v/>
      </c>
    </row>
    <row r="6">
      <c r="A6" s="18" t="inlineStr">
        <is>
          <t>C. 할 수 있는 일 (6문항 평균, 1~5)</t>
        </is>
      </c>
      <c r="B6" s="17">
        <f>COUNT(회고입력!$AP$4:$AP$33)</f>
        <v/>
      </c>
      <c r="C6" s="19">
        <f>IF(B6&lt;2,"",AVERAGE(회고입력!$AS$4:$AS$33))</f>
        <v/>
      </c>
      <c r="D6" s="19">
        <f>IF(B6&lt;2,"",_xlfn.STDEV.S(회고입력!$AS$4:$AS$33))</f>
        <v/>
      </c>
      <c r="E6" s="19">
        <f>IF(B6&lt;2,"",AVERAGE(회고입력!$AT$4:$AT$33))</f>
        <v/>
      </c>
      <c r="F6" s="19">
        <f>IF(B6&lt;2,"",_xlfn.STDEV.S(회고입력!$AT$4:$AT$33))</f>
        <v/>
      </c>
      <c r="G6" s="19">
        <f>IF(B6&lt;2,"",AVERAGE(회고입력!$AP$4:$AP$33))</f>
        <v/>
      </c>
      <c r="H6" s="19">
        <f>IF(OR(B6&lt;2,_xlfn.STDEV.S(회고입력!$AP$4:$AP$33)=0),"",AVERAGE(회고입력!$AP$4:$AP$33)/(_xlfn.STDEV.S(회고입력!$AP$4:$AP$33)/SQRT(B6)))</f>
        <v/>
      </c>
      <c r="I6" s="20">
        <f>IF(OR(B6&lt;2,_xlfn.STDEV.S(회고입력!$AP$4:$AP$33)=0),"",_xlfn.T.TEST(회고입력!$AS$4:$AS$33,회고입력!$AT$4:$AT$33,2,1))</f>
        <v/>
      </c>
      <c r="J6" s="19">
        <f>IF(OR(B6&lt;2,SQRT((D6^2+F6^2)/2)=0),"",G6/SQRT((D6^2+F6^2)/2))</f>
        <v/>
      </c>
    </row>
    <row r="7">
      <c r="A7" s="18" t="inlineStr">
        <is>
          <t>A. 지구촌 문제 알기 (0~10, 지금만)</t>
        </is>
      </c>
      <c r="B7" s="17">
        <f>COUNT(회고입력!$B$4:$B$33)</f>
        <v/>
      </c>
      <c r="C7" s="17" t="inlineStr">
        <is>
          <t>—</t>
        </is>
      </c>
      <c r="D7" s="17" t="inlineStr">
        <is>
          <t>—</t>
        </is>
      </c>
      <c r="E7" s="19">
        <f>IF(B7&lt;2,"",AVERAGE(회고입력!$B$4:$B$33))</f>
        <v/>
      </c>
      <c r="F7" s="19">
        <f>IF(B7&lt;2,"",_xlfn.STDEV.S(회고입력!$B$4:$B$33))</f>
        <v/>
      </c>
      <c r="G7" s="17" t="inlineStr">
        <is>
          <t>—</t>
        </is>
      </c>
      <c r="H7" s="17" t="inlineStr">
        <is>
          <t>—</t>
        </is>
      </c>
      <c r="I7" s="17" t="inlineStr">
        <is>
          <t>—</t>
        </is>
      </c>
      <c r="J7" s="17" t="inlineStr">
        <is>
          <t>—</t>
        </is>
      </c>
    </row>
    <row r="8">
      <c r="A8" s="21" t="inlineStr">
        <is>
          <t>해석: d ≥ 0.8 큼 · 0.5 중간 · 0.2 작음. p &lt; .05 이면 의미 있는 차이.</t>
        </is>
      </c>
    </row>
    <row r="10">
      <c r="A10" s="7" t="inlineStr">
        <is>
          <t>문항별 평균</t>
        </is>
      </c>
      <c r="B10" s="7" t="inlineStr">
        <is>
          <t>N</t>
        </is>
      </c>
      <c r="C10" s="7" t="inlineStr">
        <is>
          <t>수업 전 평균</t>
        </is>
      </c>
      <c r="D10" s="7" t="inlineStr">
        <is>
          <t>수업 전 SD</t>
        </is>
      </c>
      <c r="E10" s="7" t="inlineStr">
        <is>
          <t>지금 평균</t>
        </is>
      </c>
      <c r="F10" s="7" t="inlineStr">
        <is>
          <t>지금 SD</t>
        </is>
      </c>
      <c r="G10" s="7" t="inlineStr">
        <is>
          <t>변화</t>
        </is>
      </c>
      <c r="H10" s="7" t="inlineStr">
        <is>
          <t>t</t>
        </is>
      </c>
      <c r="I10" s="7" t="inlineStr">
        <is>
          <t>p</t>
        </is>
      </c>
      <c r="J10" s="7" t="inlineStr">
        <is>
          <t>d</t>
        </is>
      </c>
    </row>
    <row r="11">
      <c r="A11" s="16" t="inlineStr">
        <is>
          <t>B1 멀리 있는 나라의 어려움이 나와 관계있다</t>
        </is>
      </c>
      <c r="B11" s="17">
        <f>SUMPRODUCT(ISNUMBER(회고입력!$C$4:$C$33)*ISNUMBER(회고입력!$L$4:$L$33))</f>
        <v/>
      </c>
      <c r="C11" s="19">
        <f>IF(B11&lt;2,"",SUMPRODUCT(ISNUMBER(회고입력!$C$4:$C$33)*ISNUMBER(회고입력!$L$4:$L$33)*회고입력!$C$4:$C$33)/B11)</f>
        <v/>
      </c>
      <c r="D11" s="19">
        <f>IF(B11&lt;2,"",SQRT(SUMPRODUCT(ISNUMBER(회고입력!$C$4:$C$33)*ISNUMBER(회고입력!$L$4:$L$33)*(회고입력!$C$4:$C$33-C11)^2)/(B11-1)))</f>
        <v/>
      </c>
      <c r="E11" s="19">
        <f>IF(B11&lt;2,"",SUMPRODUCT(ISNUMBER(회고입력!$C$4:$C$33)*ISNUMBER(회고입력!$L$4:$L$33)*회고입력!$L$4:$L$33)/B11)</f>
        <v/>
      </c>
      <c r="F11" s="19">
        <f>IF(B11&lt;2,"",SQRT(SUMPRODUCT(ISNUMBER(회고입력!$C$4:$C$33)*ISNUMBER(회고입력!$L$4:$L$33)*(회고입력!$L$4:$L$33-E11)^2)/(B11-1)))</f>
        <v/>
      </c>
      <c r="G11" s="19">
        <f>IF(B11&lt;2,"",E11-C11)</f>
        <v/>
      </c>
      <c r="H11" s="19">
        <f>IF(OR(I11="",I11=1),"",SIGN(G11)*_xlfn.T.INV.2T(I11,B11-1))</f>
        <v/>
      </c>
      <c r="I11" s="20">
        <f>IFERROR(IF(B11&lt;2,"",_xlfn.T.TEST(회고입력!$C$4:$C$33,회고입력!$L$4:$L$33,2,1)),"")</f>
        <v/>
      </c>
      <c r="J11" s="19">
        <f>IF(OR(B11&lt;2,SQRT((D11^2+F11^2)/2)=0),"",G11/SQRT((D11^2+F11^2)/2))</f>
        <v/>
      </c>
    </row>
    <row r="12">
      <c r="A12" s="16" t="inlineStr">
        <is>
          <t>B2 겪는 사람의 마음을 떠올릴 수 있다</t>
        </is>
      </c>
      <c r="B12" s="17">
        <f>SUMPRODUCT(ISNUMBER(회고입력!$D$4:$D$33)*ISNUMBER(회고입력!$M$4:$M$33))</f>
        <v/>
      </c>
      <c r="C12" s="19">
        <f>IF(B12&lt;2,"",SUMPRODUCT(ISNUMBER(회고입력!$D$4:$D$33)*ISNUMBER(회고입력!$M$4:$M$33)*회고입력!$D$4:$D$33)/B12)</f>
        <v/>
      </c>
      <c r="D12" s="19">
        <f>IF(B12&lt;2,"",SQRT(SUMPRODUCT(ISNUMBER(회고입력!$D$4:$D$33)*ISNUMBER(회고입력!$M$4:$M$33)*(회고입력!$D$4:$D$33-C12)^2)/(B12-1)))</f>
        <v/>
      </c>
      <c r="E12" s="19">
        <f>IF(B12&lt;2,"",SUMPRODUCT(ISNUMBER(회고입력!$D$4:$D$33)*ISNUMBER(회고입력!$M$4:$M$33)*회고입력!$M$4:$M$33)/B12)</f>
        <v/>
      </c>
      <c r="F12" s="19">
        <f>IF(B12&lt;2,"",SQRT(SUMPRODUCT(ISNUMBER(회고입력!$D$4:$D$33)*ISNUMBER(회고입력!$M$4:$M$33)*(회고입력!$M$4:$M$33-E12)^2)/(B12-1)))</f>
        <v/>
      </c>
      <c r="G12" s="19">
        <f>IF(B12&lt;2,"",E12-C12)</f>
        <v/>
      </c>
      <c r="H12" s="19">
        <f>IF(OR(I12="",I12=1),"",SIGN(G12)*_xlfn.T.INV.2T(I12,B12-1))</f>
        <v/>
      </c>
      <c r="I12" s="20">
        <f>IFERROR(IF(B12&lt;2,"",_xlfn.T.TEST(회고입력!$D$4:$D$33,회고입력!$M$4:$M$33,2,1)),"")</f>
        <v/>
      </c>
      <c r="J12" s="19">
        <f>IF(OR(B12&lt;2,SQRT((D12^2+F12^2)/2)=0),"",G12/SQRT((D12^2+F12^2)/2))</f>
        <v/>
      </c>
    </row>
    <row r="13">
      <c r="A13" s="16" t="inlineStr">
        <is>
          <t>B3 어떻게 지내는지 궁금하다</t>
        </is>
      </c>
      <c r="B13" s="17">
        <f>SUMPRODUCT(ISNUMBER(회고입력!$E$4:$E$33)*ISNUMBER(회고입력!$N$4:$N$33))</f>
        <v/>
      </c>
      <c r="C13" s="19">
        <f>IF(B13&lt;2,"",SUMPRODUCT(ISNUMBER(회고입력!$E$4:$E$33)*ISNUMBER(회고입력!$N$4:$N$33)*회고입력!$E$4:$E$33)/B13)</f>
        <v/>
      </c>
      <c r="D13" s="19">
        <f>IF(B13&lt;2,"",SQRT(SUMPRODUCT(ISNUMBER(회고입력!$E$4:$E$33)*ISNUMBER(회고입력!$N$4:$N$33)*(회고입력!$E$4:$E$33-C13)^2)/(B13-1)))</f>
        <v/>
      </c>
      <c r="E13" s="19">
        <f>IF(B13&lt;2,"",SUMPRODUCT(ISNUMBER(회고입력!$E$4:$E$33)*ISNUMBER(회고입력!$N$4:$N$33)*회고입력!$N$4:$N$33)/B13)</f>
        <v/>
      </c>
      <c r="F13" s="19">
        <f>IF(B13&lt;2,"",SQRT(SUMPRODUCT(ISNUMBER(회고입력!$E$4:$E$33)*ISNUMBER(회고입력!$N$4:$N$33)*(회고입력!$N$4:$N$33-E13)^2)/(B13-1)))</f>
        <v/>
      </c>
      <c r="G13" s="19">
        <f>IF(B13&lt;2,"",E13-C13)</f>
        <v/>
      </c>
      <c r="H13" s="19">
        <f>IF(OR(I13="",I13=1),"",SIGN(G13)*_xlfn.T.INV.2T(I13,B13-1))</f>
        <v/>
      </c>
      <c r="I13" s="20">
        <f>IFERROR(IF(B13&lt;2,"",_xlfn.T.TEST(회고입력!$E$4:$E$33,회고입력!$N$4:$N$33,2,1)),"")</f>
        <v/>
      </c>
      <c r="J13" s="19">
        <f>IF(OR(B13&lt;2,SQRT((D13^2+F13^2)/2)=0),"",G13/SQRT((D13^2+F13^2)/2))</f>
        <v/>
      </c>
    </row>
    <row r="14">
      <c r="A14" s="16" t="inlineStr">
        <is>
          <t>B4 자기 삶을 꾸려 가는 사람이라고 생각</t>
        </is>
      </c>
      <c r="B14" s="17">
        <f>SUMPRODUCT(ISNUMBER(회고입력!$F$4:$F$33)*ISNUMBER(회고입력!$O$4:$O$33))</f>
        <v/>
      </c>
      <c r="C14" s="19">
        <f>IF(B14&lt;2,"",SUMPRODUCT(ISNUMBER(회고입력!$F$4:$F$33)*ISNUMBER(회고입력!$O$4:$O$33)*회고입력!$F$4:$F$33)/B14)</f>
        <v/>
      </c>
      <c r="D14" s="19">
        <f>IF(B14&lt;2,"",SQRT(SUMPRODUCT(ISNUMBER(회고입력!$F$4:$F$33)*ISNUMBER(회고입력!$O$4:$O$33)*(회고입력!$F$4:$F$33-C14)^2)/(B14-1)))</f>
        <v/>
      </c>
      <c r="E14" s="19">
        <f>IF(B14&lt;2,"",SUMPRODUCT(ISNUMBER(회고입력!$F$4:$F$33)*ISNUMBER(회고입력!$O$4:$O$33)*회고입력!$O$4:$O$33)/B14)</f>
        <v/>
      </c>
      <c r="F14" s="19">
        <f>IF(B14&lt;2,"",SQRT(SUMPRODUCT(ISNUMBER(회고입력!$F$4:$F$33)*ISNUMBER(회고입력!$O$4:$O$33)*(회고입력!$O$4:$O$33-E14)^2)/(B14-1)))</f>
        <v/>
      </c>
      <c r="G14" s="19">
        <f>IF(B14&lt;2,"",E14-C14)</f>
        <v/>
      </c>
      <c r="H14" s="19">
        <f>IF(OR(I14="",I14=1),"",SIGN(G14)*_xlfn.T.INV.2T(I14,B14-1))</f>
        <v/>
      </c>
      <c r="I14" s="20">
        <f>IFERROR(IF(B14&lt;2,"",_xlfn.T.TEST(회고입력!$F$4:$F$33,회고입력!$O$4:$O$33,2,1)),"")</f>
        <v/>
      </c>
      <c r="J14" s="19">
        <f>IF(OR(B14&lt;2,SQRT((D14^2+F14^2)/2)=0),"",G14/SQRT((D14^2+F14^2)/2))</f>
        <v/>
      </c>
    </row>
    <row r="15">
      <c r="A15" s="16" t="inlineStr">
        <is>
          <t>B5 내가 그 사람이라면을 생각해 볼 수 있다</t>
        </is>
      </c>
      <c r="B15" s="17">
        <f>SUMPRODUCT(ISNUMBER(회고입력!$G$4:$G$33)*ISNUMBER(회고입력!$P$4:$P$33))</f>
        <v/>
      </c>
      <c r="C15" s="19">
        <f>IF(B15&lt;2,"",SUMPRODUCT(ISNUMBER(회고입력!$G$4:$G$33)*ISNUMBER(회고입력!$P$4:$P$33)*회고입력!$G$4:$G$33)/B15)</f>
        <v/>
      </c>
      <c r="D15" s="19">
        <f>IF(B15&lt;2,"",SQRT(SUMPRODUCT(ISNUMBER(회고입력!$G$4:$G$33)*ISNUMBER(회고입력!$P$4:$P$33)*(회고입력!$G$4:$G$33-C15)^2)/(B15-1)))</f>
        <v/>
      </c>
      <c r="E15" s="19">
        <f>IF(B15&lt;2,"",SUMPRODUCT(ISNUMBER(회고입력!$G$4:$G$33)*ISNUMBER(회고입력!$P$4:$P$33)*회고입력!$P$4:$P$33)/B15)</f>
        <v/>
      </c>
      <c r="F15" s="19">
        <f>IF(B15&lt;2,"",SQRT(SUMPRODUCT(ISNUMBER(회고입력!$G$4:$G$33)*ISNUMBER(회고입력!$P$4:$P$33)*(회고입력!$P$4:$P$33-E15)^2)/(B15-1)))</f>
        <v/>
      </c>
      <c r="G15" s="19">
        <f>IF(B15&lt;2,"",E15-C15)</f>
        <v/>
      </c>
      <c r="H15" s="19">
        <f>IF(OR(I15="",I15=1),"",SIGN(G15)*_xlfn.T.INV.2T(I15,B15-1))</f>
        <v/>
      </c>
      <c r="I15" s="20">
        <f>IFERROR(IF(B15&lt;2,"",_xlfn.T.TEST(회고입력!$G$4:$G$33,회고입력!$P$4:$P$33,2,1)),"")</f>
        <v/>
      </c>
      <c r="J15" s="19">
        <f>IF(OR(B15&lt;2,SQRT((D15^2+F15^2)/2)=0),"",G15/SQRT((D15^2+F15^2)/2))</f>
        <v/>
      </c>
    </row>
    <row r="16">
      <c r="A16" s="16" t="inlineStr">
        <is>
          <t>B6 사람마다 바라는 해결 방법이 다를 수 있다</t>
        </is>
      </c>
      <c r="B16" s="17">
        <f>SUMPRODUCT(ISNUMBER(회고입력!$H$4:$H$33)*ISNUMBER(회고입력!$Q$4:$Q$33))</f>
        <v/>
      </c>
      <c r="C16" s="19">
        <f>IF(B16&lt;2,"",SUMPRODUCT(ISNUMBER(회고입력!$H$4:$H$33)*ISNUMBER(회고입력!$Q$4:$Q$33)*회고입력!$H$4:$H$33)/B16)</f>
        <v/>
      </c>
      <c r="D16" s="19">
        <f>IF(B16&lt;2,"",SQRT(SUMPRODUCT(ISNUMBER(회고입력!$H$4:$H$33)*ISNUMBER(회고입력!$Q$4:$Q$33)*(회고입력!$H$4:$H$33-C16)^2)/(B16-1)))</f>
        <v/>
      </c>
      <c r="E16" s="19">
        <f>IF(B16&lt;2,"",SUMPRODUCT(ISNUMBER(회고입력!$H$4:$H$33)*ISNUMBER(회고입력!$Q$4:$Q$33)*회고입력!$Q$4:$Q$33)/B16)</f>
        <v/>
      </c>
      <c r="F16" s="19">
        <f>IF(B16&lt;2,"",SQRT(SUMPRODUCT(ISNUMBER(회고입력!$H$4:$H$33)*ISNUMBER(회고입력!$Q$4:$Q$33)*(회고입력!$Q$4:$Q$33-E16)^2)/(B16-1)))</f>
        <v/>
      </c>
      <c r="G16" s="19">
        <f>IF(B16&lt;2,"",E16-C16)</f>
        <v/>
      </c>
      <c r="H16" s="19">
        <f>IF(OR(I16="",I16=1),"",SIGN(G16)*_xlfn.T.INV.2T(I16,B16-1))</f>
        <v/>
      </c>
      <c r="I16" s="20">
        <f>IFERROR(IF(B16&lt;2,"",_xlfn.T.TEST(회고입력!$H$4:$H$33,회고입력!$Q$4:$Q$33,2,1)),"")</f>
        <v/>
      </c>
      <c r="J16" s="19">
        <f>IF(OR(B16&lt;2,SQRT((D16^2+F16^2)/2)=0),"",G16/SQRT((D16^2+F16^2)/2))</f>
        <v/>
      </c>
    </row>
    <row r="17">
      <c r="A17" s="16" t="inlineStr">
        <is>
          <t>B7 그 사람 입장에서 필요한 것을 말할 수 있다</t>
        </is>
      </c>
      <c r="B17" s="17">
        <f>SUMPRODUCT(ISNUMBER(회고입력!$I$4:$I$33)*ISNUMBER(회고입력!$R$4:$R$33))</f>
        <v/>
      </c>
      <c r="C17" s="19">
        <f>IF(B17&lt;2,"",SUMPRODUCT(ISNUMBER(회고입력!$I$4:$I$33)*ISNUMBER(회고입력!$R$4:$R$33)*회고입력!$I$4:$I$33)/B17)</f>
        <v/>
      </c>
      <c r="D17" s="19">
        <f>IF(B17&lt;2,"",SQRT(SUMPRODUCT(ISNUMBER(회고입력!$I$4:$I$33)*ISNUMBER(회고입력!$R$4:$R$33)*(회고입력!$I$4:$I$33-C17)^2)/(B17-1)))</f>
        <v/>
      </c>
      <c r="E17" s="19">
        <f>IF(B17&lt;2,"",SUMPRODUCT(ISNUMBER(회고입력!$I$4:$I$33)*ISNUMBER(회고입력!$R$4:$R$33)*회고입력!$R$4:$R$33)/B17)</f>
        <v/>
      </c>
      <c r="F17" s="19">
        <f>IF(B17&lt;2,"",SQRT(SUMPRODUCT(ISNUMBER(회고입력!$I$4:$I$33)*ISNUMBER(회고입력!$R$4:$R$33)*(회고입력!$R$4:$R$33-E17)^2)/(B17-1)))</f>
        <v/>
      </c>
      <c r="G17" s="19">
        <f>IF(B17&lt;2,"",E17-C17)</f>
        <v/>
      </c>
      <c r="H17" s="19">
        <f>IF(OR(I17="",I17=1),"",SIGN(G17)*_xlfn.T.INV.2T(I17,B17-1))</f>
        <v/>
      </c>
      <c r="I17" s="20">
        <f>IFERROR(IF(B17&lt;2,"",_xlfn.T.TEST(회고입력!$I$4:$I$33,회고입력!$R$4:$R$33,2,1)),"")</f>
        <v/>
      </c>
      <c r="J17" s="19">
        <f>IF(OR(B17&lt;2,SQRT((D17^2+F17^2)/2)=0),"",G17/SQRT((D17^2+F17^2)/2))</f>
        <v/>
      </c>
    </row>
    <row r="18">
      <c r="A18" s="16" t="inlineStr">
        <is>
          <t>B8 어떤 선택에도 좋은 점·어려운 점이 함께</t>
        </is>
      </c>
      <c r="B18" s="17">
        <f>SUMPRODUCT(ISNUMBER(회고입력!$J$4:$J$33)*ISNUMBER(회고입력!$S$4:$S$33))</f>
        <v/>
      </c>
      <c r="C18" s="19">
        <f>IF(B18&lt;2,"",SUMPRODUCT(ISNUMBER(회고입력!$J$4:$J$33)*ISNUMBER(회고입력!$S$4:$S$33)*회고입력!$J$4:$J$33)/B18)</f>
        <v/>
      </c>
      <c r="D18" s="19">
        <f>IF(B18&lt;2,"",SQRT(SUMPRODUCT(ISNUMBER(회고입력!$J$4:$J$33)*ISNUMBER(회고입력!$S$4:$S$33)*(회고입력!$J$4:$J$33-C18)^2)/(B18-1)))</f>
        <v/>
      </c>
      <c r="E18" s="19">
        <f>IF(B18&lt;2,"",SUMPRODUCT(ISNUMBER(회고입력!$J$4:$J$33)*ISNUMBER(회고입력!$S$4:$S$33)*회고입력!$S$4:$S$33)/B18)</f>
        <v/>
      </c>
      <c r="F18" s="19">
        <f>IF(B18&lt;2,"",SQRT(SUMPRODUCT(ISNUMBER(회고입력!$J$4:$J$33)*ISNUMBER(회고입력!$S$4:$S$33)*(회고입력!$S$4:$S$33-E18)^2)/(B18-1)))</f>
        <v/>
      </c>
      <c r="G18" s="19">
        <f>IF(B18&lt;2,"",E18-C18)</f>
        <v/>
      </c>
      <c r="H18" s="19">
        <f>IF(OR(I18="",I18=1),"",SIGN(G18)*_xlfn.T.INV.2T(I18,B18-1))</f>
        <v/>
      </c>
      <c r="I18" s="20">
        <f>IFERROR(IF(B18&lt;2,"",_xlfn.T.TEST(회고입력!$J$4:$J$33,회고입력!$S$4:$S$33,2,1)),"")</f>
        <v/>
      </c>
      <c r="J18" s="19">
        <f>IF(OR(B18&lt;2,SQRT((D18^2+F18^2)/2)=0),"",G18/SQRT((D18^2+F18^2)/2))</f>
        <v/>
      </c>
    </row>
    <row r="19">
      <c r="A19" s="16" t="inlineStr">
        <is>
          <t>B9 다른 방법을 고른 친구의 까닭을 듣고 싶다</t>
        </is>
      </c>
      <c r="B19" s="17">
        <f>SUMPRODUCT(ISNUMBER(회고입력!$K$4:$K$33)*ISNUMBER(회고입력!$T$4:$T$33))</f>
        <v/>
      </c>
      <c r="C19" s="19">
        <f>IF(B19&lt;2,"",SUMPRODUCT(ISNUMBER(회고입력!$K$4:$K$33)*ISNUMBER(회고입력!$T$4:$T$33)*회고입력!$K$4:$K$33)/B19)</f>
        <v/>
      </c>
      <c r="D19" s="19">
        <f>IF(B19&lt;2,"",SQRT(SUMPRODUCT(ISNUMBER(회고입력!$K$4:$K$33)*ISNUMBER(회고입력!$T$4:$T$33)*(회고입력!$K$4:$K$33-C19)^2)/(B19-1)))</f>
        <v/>
      </c>
      <c r="E19" s="19">
        <f>IF(B19&lt;2,"",SUMPRODUCT(ISNUMBER(회고입력!$K$4:$K$33)*ISNUMBER(회고입력!$T$4:$T$33)*회고입력!$T$4:$T$33)/B19)</f>
        <v/>
      </c>
      <c r="F19" s="19">
        <f>IF(B19&lt;2,"",SQRT(SUMPRODUCT(ISNUMBER(회고입력!$K$4:$K$33)*ISNUMBER(회고입력!$T$4:$T$33)*(회고입력!$T$4:$T$33-E19)^2)/(B19-1)))</f>
        <v/>
      </c>
      <c r="G19" s="19">
        <f>IF(B19&lt;2,"",E19-C19)</f>
        <v/>
      </c>
      <c r="H19" s="19">
        <f>IF(OR(I19="",I19=1),"",SIGN(G19)*_xlfn.T.INV.2T(I19,B19-1))</f>
        <v/>
      </c>
      <c r="I19" s="20">
        <f>IFERROR(IF(B19&lt;2,"",_xlfn.T.TEST(회고입력!$K$4:$K$33,회고입력!$T$4:$T$33,2,1)),"")</f>
        <v/>
      </c>
      <c r="J19" s="19">
        <f>IF(OR(B19&lt;2,SQRT((D19^2+F19^2)/2)=0),"",G19/SQRT((D19^2+F19^2)/2))</f>
        <v/>
      </c>
    </row>
    <row r="20">
      <c r="A20" s="16" t="inlineStr">
        <is>
          <t>C1 나도 할 수 있는 일이 있다</t>
        </is>
      </c>
      <c r="B20" s="17">
        <f>SUMPRODUCT(ISNUMBER(회고입력!$U$4:$U$33)*ISNUMBER(회고입력!$AA$4:$AA$33))</f>
        <v/>
      </c>
      <c r="C20" s="19">
        <f>IF(B20&lt;2,"",SUMPRODUCT(ISNUMBER(회고입력!$U$4:$U$33)*ISNUMBER(회고입력!$AA$4:$AA$33)*회고입력!$U$4:$U$33)/B20)</f>
        <v/>
      </c>
      <c r="D20" s="19">
        <f>IF(B20&lt;2,"",SQRT(SUMPRODUCT(ISNUMBER(회고입력!$U$4:$U$33)*ISNUMBER(회고입력!$AA$4:$AA$33)*(회고입력!$U$4:$U$33-C20)^2)/(B20-1)))</f>
        <v/>
      </c>
      <c r="E20" s="19">
        <f>IF(B20&lt;2,"",SUMPRODUCT(ISNUMBER(회고입력!$U$4:$U$33)*ISNUMBER(회고입력!$AA$4:$AA$33)*회고입력!$AA$4:$AA$33)/B20)</f>
        <v/>
      </c>
      <c r="F20" s="19">
        <f>IF(B20&lt;2,"",SQRT(SUMPRODUCT(ISNUMBER(회고입력!$U$4:$U$33)*ISNUMBER(회고입력!$AA$4:$AA$33)*(회고입력!$AA$4:$AA$33-E20)^2)/(B20-1)))</f>
        <v/>
      </c>
      <c r="G20" s="19">
        <f>IF(B20&lt;2,"",E20-C20)</f>
        <v/>
      </c>
      <c r="H20" s="19">
        <f>IF(OR(I20="",I20=1),"",SIGN(G20)*_xlfn.T.INV.2T(I20,B20-1))</f>
        <v/>
      </c>
      <c r="I20" s="20">
        <f>IFERROR(IF(B20&lt;2,"",_xlfn.T.TEST(회고입력!$U$4:$U$33,회고입력!$AA$4:$AA$33,2,1)),"")</f>
        <v/>
      </c>
      <c r="J20" s="19">
        <f>IF(OR(B20&lt;2,SQRT((D20^2+F20^2)/2)=0),"",G20/SQRT((D20^2+F20^2)/2))</f>
        <v/>
      </c>
    </row>
    <row r="21">
      <c r="A21" s="16" t="inlineStr">
        <is>
          <t>C2 문제와 해결 방법을 설명할 수 있다</t>
        </is>
      </c>
      <c r="B21" s="17">
        <f>SUMPRODUCT(ISNUMBER(회고입력!$V$4:$V$33)*ISNUMBER(회고입력!$AB$4:$AB$33))</f>
        <v/>
      </c>
      <c r="C21" s="19">
        <f>IF(B21&lt;2,"",SUMPRODUCT(ISNUMBER(회고입력!$V$4:$V$33)*ISNUMBER(회고입력!$AB$4:$AB$33)*회고입력!$V$4:$V$33)/B21)</f>
        <v/>
      </c>
      <c r="D21" s="19">
        <f>IF(B21&lt;2,"",SQRT(SUMPRODUCT(ISNUMBER(회고입력!$V$4:$V$33)*ISNUMBER(회고입력!$AB$4:$AB$33)*(회고입력!$V$4:$V$33-C21)^2)/(B21-1)))</f>
        <v/>
      </c>
      <c r="E21" s="19">
        <f>IF(B21&lt;2,"",SUMPRODUCT(ISNUMBER(회고입력!$V$4:$V$33)*ISNUMBER(회고입력!$AB$4:$AB$33)*회고입력!$AB$4:$AB$33)/B21)</f>
        <v/>
      </c>
      <c r="F21" s="19">
        <f>IF(B21&lt;2,"",SQRT(SUMPRODUCT(ISNUMBER(회고입력!$V$4:$V$33)*ISNUMBER(회고입력!$AB$4:$AB$33)*(회고입력!$AB$4:$AB$33-E21)^2)/(B21-1)))</f>
        <v/>
      </c>
      <c r="G21" s="19">
        <f>IF(B21&lt;2,"",E21-C21)</f>
        <v/>
      </c>
      <c r="H21" s="19">
        <f>IF(OR(I21="",I21=1),"",SIGN(G21)*_xlfn.T.INV.2T(I21,B21-1))</f>
        <v/>
      </c>
      <c r="I21" s="20">
        <f>IFERROR(IF(B21&lt;2,"",_xlfn.T.TEST(회고입력!$V$4:$V$33,회고입력!$AB$4:$AB$33,2,1)),"")</f>
        <v/>
      </c>
      <c r="J21" s="19">
        <f>IF(OR(B21&lt;2,SQRT((D21^2+F21^2)/2)=0),"",G21/SQRT((D21^2+F21^2)/2))</f>
        <v/>
      </c>
    </row>
    <row r="22">
      <c r="A22" s="16" t="inlineStr">
        <is>
          <t>C3 더 알아보고 싶다</t>
        </is>
      </c>
      <c r="B22" s="17">
        <f>SUMPRODUCT(ISNUMBER(회고입력!$W$4:$W$33)*ISNUMBER(회고입력!$AC$4:$AC$33))</f>
        <v/>
      </c>
      <c r="C22" s="19">
        <f>IF(B22&lt;2,"",SUMPRODUCT(ISNUMBER(회고입력!$W$4:$W$33)*ISNUMBER(회고입력!$AC$4:$AC$33)*회고입력!$W$4:$W$33)/B22)</f>
        <v/>
      </c>
      <c r="D22" s="19">
        <f>IF(B22&lt;2,"",SQRT(SUMPRODUCT(ISNUMBER(회고입력!$W$4:$W$33)*ISNUMBER(회고입력!$AC$4:$AC$33)*(회고입력!$W$4:$W$33-C22)^2)/(B22-1)))</f>
        <v/>
      </c>
      <c r="E22" s="19">
        <f>IF(B22&lt;2,"",SUMPRODUCT(ISNUMBER(회고입력!$W$4:$W$33)*ISNUMBER(회고입력!$AC$4:$AC$33)*회고입력!$AC$4:$AC$33)/B22)</f>
        <v/>
      </c>
      <c r="F22" s="19">
        <f>IF(B22&lt;2,"",SQRT(SUMPRODUCT(ISNUMBER(회고입력!$W$4:$W$33)*ISNUMBER(회고입력!$AC$4:$AC$33)*(회고입력!$AC$4:$AC$33-E22)^2)/(B22-1)))</f>
        <v/>
      </c>
      <c r="G22" s="19">
        <f>IF(B22&lt;2,"",E22-C22)</f>
        <v/>
      </c>
      <c r="H22" s="19">
        <f>IF(OR(I22="",I22=1),"",SIGN(G22)*_xlfn.T.INV.2T(I22,B22-1))</f>
        <v/>
      </c>
      <c r="I22" s="20">
        <f>IFERROR(IF(B22&lt;2,"",_xlfn.T.TEST(회고입력!$W$4:$W$33,회고입력!$AC$4:$AC$33,2,1)),"")</f>
        <v/>
      </c>
      <c r="J22" s="19">
        <f>IF(OR(B22&lt;2,SQRT((D22^2+F22^2)/2)=0),"",G22/SQRT((D22^2+F22^2)/2))</f>
        <v/>
      </c>
    </row>
    <row r="23">
      <c r="A23" s="16" t="inlineStr">
        <is>
          <t>C4 돕는 활동에 참여하고 싶다</t>
        </is>
      </c>
      <c r="B23" s="17">
        <f>SUMPRODUCT(ISNUMBER(회고입력!$X$4:$X$33)*ISNUMBER(회고입력!$AD$4:$AD$33))</f>
        <v/>
      </c>
      <c r="C23" s="19">
        <f>IF(B23&lt;2,"",SUMPRODUCT(ISNUMBER(회고입력!$X$4:$X$33)*ISNUMBER(회고입력!$AD$4:$AD$33)*회고입력!$X$4:$X$33)/B23)</f>
        <v/>
      </c>
      <c r="D23" s="19">
        <f>IF(B23&lt;2,"",SQRT(SUMPRODUCT(ISNUMBER(회고입력!$X$4:$X$33)*ISNUMBER(회고입력!$AD$4:$AD$33)*(회고입력!$X$4:$X$33-C23)^2)/(B23-1)))</f>
        <v/>
      </c>
      <c r="E23" s="19">
        <f>IF(B23&lt;2,"",SUMPRODUCT(ISNUMBER(회고입력!$X$4:$X$33)*ISNUMBER(회고입력!$AD$4:$AD$33)*회고입력!$AD$4:$AD$33)/B23)</f>
        <v/>
      </c>
      <c r="F23" s="19">
        <f>IF(B23&lt;2,"",SQRT(SUMPRODUCT(ISNUMBER(회고입력!$X$4:$X$33)*ISNUMBER(회고입력!$AD$4:$AD$33)*(회고입력!$AD$4:$AD$33-E23)^2)/(B23-1)))</f>
        <v/>
      </c>
      <c r="G23" s="19">
        <f>IF(B23&lt;2,"",E23-C23)</f>
        <v/>
      </c>
      <c r="H23" s="19">
        <f>IF(OR(I23="",I23=1),"",SIGN(G23)*_xlfn.T.INV.2T(I23,B23-1))</f>
        <v/>
      </c>
      <c r="I23" s="20">
        <f>IFERROR(IF(B23&lt;2,"",_xlfn.T.TEST(회고입력!$X$4:$X$33,회고입력!$AD$4:$AD$33,2,1)),"")</f>
        <v/>
      </c>
      <c r="J23" s="19">
        <f>IF(OR(B23&lt;2,SQRT((D23^2+F23^2)/2)=0),"",G23/SQRT((D23^2+F23^2)/2))</f>
        <v/>
      </c>
    </row>
    <row r="24">
      <c r="A24" s="16" t="inlineStr">
        <is>
          <t>C5 우리 모둠·학급이 할 수 있는 일을 말할 수 있다</t>
        </is>
      </c>
      <c r="B24" s="17">
        <f>SUMPRODUCT(ISNUMBER(회고입력!$Y$4:$Y$33)*ISNUMBER(회고입력!$AE$4:$AE$33))</f>
        <v/>
      </c>
      <c r="C24" s="19">
        <f>IF(B24&lt;2,"",SUMPRODUCT(ISNUMBER(회고입력!$Y$4:$Y$33)*ISNUMBER(회고입력!$AE$4:$AE$33)*회고입력!$Y$4:$Y$33)/B24)</f>
        <v/>
      </c>
      <c r="D24" s="19">
        <f>IF(B24&lt;2,"",SQRT(SUMPRODUCT(ISNUMBER(회고입력!$Y$4:$Y$33)*ISNUMBER(회고입력!$AE$4:$AE$33)*(회고입력!$Y$4:$Y$33-C24)^2)/(B24-1)))</f>
        <v/>
      </c>
      <c r="E24" s="19">
        <f>IF(B24&lt;2,"",SUMPRODUCT(ISNUMBER(회고입력!$Y$4:$Y$33)*ISNUMBER(회고입력!$AE$4:$AE$33)*회고입력!$AE$4:$AE$33)/B24)</f>
        <v/>
      </c>
      <c r="F24" s="19">
        <f>IF(B24&lt;2,"",SQRT(SUMPRODUCT(ISNUMBER(회고입력!$Y$4:$Y$33)*ISNUMBER(회고입력!$AE$4:$AE$33)*(회고입력!$AE$4:$AE$33-E24)^2)/(B24-1)))</f>
        <v/>
      </c>
      <c r="G24" s="19">
        <f>IF(B24&lt;2,"",E24-C24)</f>
        <v/>
      </c>
      <c r="H24" s="19">
        <f>IF(OR(I24="",I24=1),"",SIGN(G24)*_xlfn.T.INV.2T(I24,B24-1))</f>
        <v/>
      </c>
      <c r="I24" s="20">
        <f>IFERROR(IF(B24&lt;2,"",_xlfn.T.TEST(회고입력!$Y$4:$Y$33,회고입력!$AE$4:$AE$33,2,1)),"")</f>
        <v/>
      </c>
      <c r="J24" s="19">
        <f>IF(OR(B24&lt;2,SQRT((D24^2+F24^2)/2)=0),"",G24/SQRT((D24^2+F24^2)/2))</f>
        <v/>
      </c>
    </row>
    <row r="25">
      <c r="A25" s="16" t="inlineStr">
        <is>
          <t>C6 도울 때 주민 의견을 먼저 들어 보려고 한다</t>
        </is>
      </c>
      <c r="B25" s="17">
        <f>SUMPRODUCT(ISNUMBER(회고입력!$Z$4:$Z$33)*ISNUMBER(회고입력!$AF$4:$AF$33))</f>
        <v/>
      </c>
      <c r="C25" s="19">
        <f>IF(B25&lt;2,"",SUMPRODUCT(ISNUMBER(회고입력!$Z$4:$Z$33)*ISNUMBER(회고입력!$AF$4:$AF$33)*회고입력!$Z$4:$Z$33)/B25)</f>
        <v/>
      </c>
      <c r="D25" s="19">
        <f>IF(B25&lt;2,"",SQRT(SUMPRODUCT(ISNUMBER(회고입력!$Z$4:$Z$33)*ISNUMBER(회고입력!$AF$4:$AF$33)*(회고입력!$Z$4:$Z$33-C25)^2)/(B25-1)))</f>
        <v/>
      </c>
      <c r="E25" s="19">
        <f>IF(B25&lt;2,"",SUMPRODUCT(ISNUMBER(회고입력!$Z$4:$Z$33)*ISNUMBER(회고입력!$AF$4:$AF$33)*회고입력!$AF$4:$AF$33)/B25)</f>
        <v/>
      </c>
      <c r="F25" s="19">
        <f>IF(B25&lt;2,"",SQRT(SUMPRODUCT(ISNUMBER(회고입력!$Z$4:$Z$33)*ISNUMBER(회고입력!$AF$4:$AF$33)*(회고입력!$AF$4:$AF$33-E25)^2)/(B25-1)))</f>
        <v/>
      </c>
      <c r="G25" s="19">
        <f>IF(B25&lt;2,"",E25-C25)</f>
        <v/>
      </c>
      <c r="H25" s="19">
        <f>IF(OR(I25="",I25=1),"",SIGN(G25)*_xlfn.T.INV.2T(I25,B25-1))</f>
        <v/>
      </c>
      <c r="I25" s="20">
        <f>IFERROR(IF(B25&lt;2,"",_xlfn.T.TEST(회고입력!$Z$4:$Z$33,회고입력!$AF$4:$AF$33,2,1)),"")</f>
        <v/>
      </c>
      <c r="J25" s="19">
        <f>IF(OR(B25&lt;2,SQRT((D25^2+F25^2)/2)=0),"",G25/SQRT((D25^2+F25^2)/2))</f>
        <v/>
      </c>
    </row>
    <row r="28" ht="30" customHeight="1">
      <c r="A28" s="7" t="inlineStr">
        <is>
          <t>D 생각 쓰기 — 수준별 빈도(명)</t>
        </is>
      </c>
      <c r="B28" s="7" t="inlineStr">
        <is>
          <t>무응답(0)</t>
        </is>
      </c>
      <c r="C28" s="7" t="inlineStr">
        <is>
          <t>1수준</t>
        </is>
      </c>
      <c r="D28" s="7" t="inlineStr">
        <is>
          <t>2수준</t>
        </is>
      </c>
      <c r="E28" s="7" t="inlineStr">
        <is>
          <t>3수준</t>
        </is>
      </c>
      <c r="F28" s="7" t="inlineStr">
        <is>
          <t>4수준</t>
        </is>
      </c>
      <c r="G28" s="7" t="inlineStr">
        <is>
          <t>응답 N</t>
        </is>
      </c>
      <c r="H28" s="7" t="inlineStr">
        <is>
          <t>평균 수준
(0 제외)</t>
        </is>
      </c>
    </row>
    <row r="29">
      <c r="A29" s="16" t="inlineStr">
        <is>
          <t>D① 떠오르는 것 3가지와 이유</t>
        </is>
      </c>
      <c r="B29" s="17">
        <f>COUNTIF(회고입력!$AG$4:$AG$33,0)</f>
        <v/>
      </c>
      <c r="C29" s="17">
        <f>COUNTIF(회고입력!$AG$4:$AG$33,1)</f>
        <v/>
      </c>
      <c r="D29" s="17">
        <f>COUNTIF(회고입력!$AG$4:$AG$33,2)</f>
        <v/>
      </c>
      <c r="E29" s="17">
        <f>COUNTIF(회고입력!$AG$4:$AG$33,3)</f>
        <v/>
      </c>
      <c r="F29" s="17">
        <f>COUNTIF(회고입력!$AG$4:$AG$33,4)</f>
        <v/>
      </c>
      <c r="G29" s="17">
        <f>COUNTIFS(회고입력!$AG$4:$AG$33,"&gt;=1",회고입력!$AG$4:$AG$33,"&lt;=4")</f>
        <v/>
      </c>
      <c r="H29" s="19">
        <f>IF(G29=0,"",AVERAGEIFS(회고입력!$AG$4:$AG$33,회고입력!$AG$4:$AG$33,"&gt;=1"))</f>
        <v/>
      </c>
    </row>
    <row r="30">
      <c r="A30" s="16" t="inlineStr">
        <is>
          <t>D② 내가 겪는 친구라면</t>
        </is>
      </c>
      <c r="B30" s="17">
        <f>COUNTIF(회고입력!$AH$4:$AH$33,0)</f>
        <v/>
      </c>
      <c r="C30" s="17">
        <f>COUNTIF(회고입력!$AH$4:$AH$33,1)</f>
        <v/>
      </c>
      <c r="D30" s="17">
        <f>COUNTIF(회고입력!$AH$4:$AH$33,2)</f>
        <v/>
      </c>
      <c r="E30" s="17">
        <f>COUNTIF(회고입력!$AH$4:$AH$33,3)</f>
        <v/>
      </c>
      <c r="F30" s="17">
        <f>COUNTIF(회고입력!$AH$4:$AH$33,4)</f>
        <v/>
      </c>
      <c r="G30" s="17">
        <f>COUNTIFS(회고입력!$AH$4:$AH$33,"&gt;=1",회고입력!$AH$4:$AH$33,"&lt;=4")</f>
        <v/>
      </c>
      <c r="H30" s="19">
        <f>IF(G30=0,"",AVERAGEIFS(회고입력!$AH$4:$AH$33,회고입력!$AH$4:$AH$33,"&gt;=1"))</f>
        <v/>
      </c>
    </row>
    <row r="31">
      <c r="A31" s="16" t="inlineStr">
        <is>
          <t>D③ 누가 어떻게 해결</t>
        </is>
      </c>
      <c r="B31" s="17">
        <f>COUNTIF(회고입력!$AI$4:$AI$33,0)</f>
        <v/>
      </c>
      <c r="C31" s="17">
        <f>COUNTIF(회고입력!$AI$4:$AI$33,1)</f>
        <v/>
      </c>
      <c r="D31" s="17">
        <f>COUNTIF(회고입력!$AI$4:$AI$33,2)</f>
        <v/>
      </c>
      <c r="E31" s="17">
        <f>COUNTIF(회고입력!$AI$4:$AI$33,3)</f>
        <v/>
      </c>
      <c r="F31" s="17">
        <f>COUNTIF(회고입력!$AI$4:$AI$33,4)</f>
        <v/>
      </c>
      <c r="G31" s="17">
        <f>COUNTIFS(회고입력!$AI$4:$AI$33,"&gt;=1",회고입력!$AI$4:$AI$33,"&lt;=4")</f>
        <v/>
      </c>
      <c r="H31" s="19">
        <f>IF(G31=0,"",AVERAGEIFS(회고입력!$AI$4:$AI$33,회고입력!$AI$4:$AI$33,"&gt;=1"))</f>
        <v/>
      </c>
    </row>
    <row r="32">
      <c r="A32" s="16" t="inlineStr">
        <is>
          <t>D④ 성찰문(전에는~지금은)</t>
        </is>
      </c>
      <c r="B32" s="17">
        <f>COUNTIF(회고입력!$AJ$4:$AJ$33,0)</f>
        <v/>
      </c>
      <c r="C32" s="17">
        <f>COUNTIF(회고입력!$AJ$4:$AJ$33,1)</f>
        <v/>
      </c>
      <c r="D32" s="17">
        <f>COUNTIF(회고입력!$AJ$4:$AJ$33,2)</f>
        <v/>
      </c>
      <c r="E32" s="17">
        <f>COUNTIF(회고입력!$AJ$4:$AJ$33,3)</f>
        <v/>
      </c>
      <c r="F32" s="17">
        <f>COUNTIF(회고입력!$AJ$4:$AJ$33,4)</f>
        <v/>
      </c>
      <c r="G32" s="17">
        <f>COUNTIFS(회고입력!$AJ$4:$AJ$33,"&gt;=1",회고입력!$AJ$4:$AJ$33,"&lt;=4")</f>
        <v/>
      </c>
      <c r="H32" s="19">
        <f>IF(G32=0,"",AVERAGEIFS(회고입력!$AJ$4:$AJ$33,회고입력!$AJ$4:$AJ$33,"&gt;=1"))</f>
        <v/>
      </c>
    </row>
    <row r="34">
      <c r="A34" s="21" t="inlineStr">
        <is>
          <t>D④ 성찰문 3·4수준(관점의 변화) 비율 = (3수준+4수준) ÷ 응답 N → 회고적 척도 변화의 질적 근거로 함께 보고.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7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7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7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7" customWidth="1" min="25" max="25"/>
    <col width="8" customWidth="1" min="26" max="26"/>
    <col width="8" customWidth="1" min="27" max="27"/>
  </cols>
  <sheetData>
    <row r="1">
      <c r="A1" s="1" t="inlineStr">
        <is>
          <t>루브릭추이 — 기록지 ①~④ 루브릭 점수(5준거 × 1~4점)</t>
        </is>
      </c>
    </row>
    <row r="2">
      <c r="A2" s="6" t="inlineStr">
        <is>
          <t>▼ 회색 3줄은 예시예요. 지우고 쓰세요. 기록지 ① 테아 · ② 세이두 · ③ 민 · ④ 리마. 아래 평균 표와 그래프는 자동으로 계산돼요.</t>
        </is>
      </c>
    </row>
    <row r="3">
      <c r="A3" s="7" t="inlineStr">
        <is>
          <t>별칭</t>
        </is>
      </c>
      <c r="B3" s="7" t="inlineStr">
        <is>
          <t>기록지 ① 테아</t>
        </is>
      </c>
      <c r="C3" s="22" t="n"/>
      <c r="D3" s="22" t="n"/>
      <c r="E3" s="22" t="n"/>
      <c r="F3" s="22" t="n"/>
      <c r="G3" s="23" t="n"/>
      <c r="H3" s="7" t="inlineStr">
        <is>
          <t>기록지 ② 세이두</t>
        </is>
      </c>
      <c r="I3" s="22" t="n"/>
      <c r="J3" s="22" t="n"/>
      <c r="K3" s="22" t="n"/>
      <c r="L3" s="22" t="n"/>
      <c r="M3" s="23" t="n"/>
      <c r="N3" s="7" t="inlineStr">
        <is>
          <t>기록지 ③ 민</t>
        </is>
      </c>
      <c r="O3" s="22" t="n"/>
      <c r="P3" s="22" t="n"/>
      <c r="Q3" s="22" t="n"/>
      <c r="R3" s="22" t="n"/>
      <c r="S3" s="23" t="n"/>
      <c r="T3" s="7" t="inlineStr">
        <is>
          <t>기록지 ④ 리마</t>
        </is>
      </c>
      <c r="U3" s="22" t="n"/>
      <c r="V3" s="22" t="n"/>
      <c r="W3" s="22" t="n"/>
      <c r="X3" s="22" t="n"/>
      <c r="Y3" s="23" t="n"/>
      <c r="Z3" s="7" t="inlineStr">
        <is>
          <t>검정용(자동)</t>
        </is>
      </c>
      <c r="AA3" s="23" t="n"/>
    </row>
    <row r="4" ht="32" customHeight="1">
      <c r="A4" s="24" t="n"/>
      <c r="B4" s="10" t="inlineStr">
        <is>
          <t>문제 이해</t>
        </is>
      </c>
      <c r="C4" s="10" t="inlineStr">
        <is>
          <t>원인·영향 연결</t>
        </is>
      </c>
      <c r="D4" s="10" t="inlineStr">
        <is>
          <t>관점 공감</t>
        </is>
      </c>
      <c r="E4" s="10" t="inlineStr">
        <is>
          <t>해결 주체 이해</t>
        </is>
      </c>
      <c r="F4" s="10" t="inlineStr">
        <is>
          <t>해결 방안 타당성</t>
        </is>
      </c>
      <c r="G4" s="11" t="inlineStr">
        <is>
          <t>합계
(20)</t>
        </is>
      </c>
      <c r="H4" s="9" t="inlineStr">
        <is>
          <t>문제 이해</t>
        </is>
      </c>
      <c r="I4" s="9" t="inlineStr">
        <is>
          <t>원인·영향 연결</t>
        </is>
      </c>
      <c r="J4" s="9" t="inlineStr">
        <is>
          <t>관점 공감</t>
        </is>
      </c>
      <c r="K4" s="9" t="inlineStr">
        <is>
          <t>해결 주체 이해</t>
        </is>
      </c>
      <c r="L4" s="9" t="inlineStr">
        <is>
          <t>해결 방안 타당성</t>
        </is>
      </c>
      <c r="M4" s="11" t="inlineStr">
        <is>
          <t>합계
(20)</t>
        </is>
      </c>
      <c r="N4" s="10" t="inlineStr">
        <is>
          <t>문제 이해</t>
        </is>
      </c>
      <c r="O4" s="10" t="inlineStr">
        <is>
          <t>원인·영향 연결</t>
        </is>
      </c>
      <c r="P4" s="10" t="inlineStr">
        <is>
          <t>관점 공감</t>
        </is>
      </c>
      <c r="Q4" s="10" t="inlineStr">
        <is>
          <t>해결 주체 이해</t>
        </is>
      </c>
      <c r="R4" s="10" t="inlineStr">
        <is>
          <t>해결 방안 타당성</t>
        </is>
      </c>
      <c r="S4" s="11" t="inlineStr">
        <is>
          <t>합계
(20)</t>
        </is>
      </c>
      <c r="T4" s="9" t="inlineStr">
        <is>
          <t>문제 이해</t>
        </is>
      </c>
      <c r="U4" s="9" t="inlineStr">
        <is>
          <t>원인·영향 연결</t>
        </is>
      </c>
      <c r="V4" s="9" t="inlineStr">
        <is>
          <t>관점 공감</t>
        </is>
      </c>
      <c r="W4" s="9" t="inlineStr">
        <is>
          <t>해결 주체 이해</t>
        </is>
      </c>
      <c r="X4" s="9" t="inlineStr">
        <is>
          <t>해결 방안 타당성</t>
        </is>
      </c>
      <c r="Y4" s="11" t="inlineStr">
        <is>
          <t>합계
(20)</t>
        </is>
      </c>
      <c r="Z4" s="11" t="inlineStr">
        <is>
          <t>①합계
(짝)</t>
        </is>
      </c>
      <c r="AA4" s="11" t="inlineStr">
        <is>
          <t>④합계
(짝)</t>
        </is>
      </c>
    </row>
    <row r="5">
      <c r="A5" s="12" t="inlineStr">
        <is>
          <t>1모둠 바다</t>
        </is>
      </c>
      <c r="B5" s="13" t="n">
        <v>2</v>
      </c>
      <c r="C5" s="13" t="n">
        <v>2</v>
      </c>
      <c r="D5" s="13" t="n">
        <v>2</v>
      </c>
      <c r="E5" s="13" t="n">
        <v>2</v>
      </c>
      <c r="F5" s="13" t="n">
        <v>2</v>
      </c>
      <c r="G5" s="25">
        <f>IF(COUNT(B5:F5)=0,"",SUM(B5:F5))</f>
        <v/>
      </c>
      <c r="H5" s="13" t="n">
        <v>3</v>
      </c>
      <c r="I5" s="13" t="n">
        <v>2</v>
      </c>
      <c r="J5" s="13" t="n">
        <v>3</v>
      </c>
      <c r="K5" s="13" t="n">
        <v>2</v>
      </c>
      <c r="L5" s="13" t="n">
        <v>3</v>
      </c>
      <c r="M5" s="25">
        <f>IF(COUNT(H5:L5)=0,"",SUM(H5:L5))</f>
        <v/>
      </c>
      <c r="N5" s="13" t="n">
        <v>3</v>
      </c>
      <c r="O5" s="13" t="n">
        <v>3</v>
      </c>
      <c r="P5" s="13" t="n">
        <v>3</v>
      </c>
      <c r="Q5" s="13" t="n">
        <v>3</v>
      </c>
      <c r="R5" s="13" t="n">
        <v>3</v>
      </c>
      <c r="S5" s="25">
        <f>IF(COUNT(N5:R5)=0,"",SUM(N5:R5))</f>
        <v/>
      </c>
      <c r="T5" s="13" t="n">
        <v>4</v>
      </c>
      <c r="U5" s="13" t="n">
        <v>3</v>
      </c>
      <c r="V5" s="13" t="n">
        <v>4</v>
      </c>
      <c r="W5" s="13" t="n">
        <v>3</v>
      </c>
      <c r="X5" s="13" t="n">
        <v>4</v>
      </c>
      <c r="Y5" s="25">
        <f>IF(COUNT(T5:X5)=0,"",SUM(T5:X5))</f>
        <v/>
      </c>
      <c r="Z5" s="26">
        <f>IF(OR(G5="",Y5=""),"",G5)</f>
        <v/>
      </c>
      <c r="AA5" s="26">
        <f>IF(OR(G5="",Y5=""),"",Y5)</f>
        <v/>
      </c>
    </row>
    <row r="6">
      <c r="A6" s="12" t="inlineStr">
        <is>
          <t>1모둠 하늘</t>
        </is>
      </c>
      <c r="B6" s="13" t="n">
        <v>2</v>
      </c>
      <c r="C6" s="13" t="n">
        <v>1</v>
      </c>
      <c r="D6" s="13" t="n">
        <v>2</v>
      </c>
      <c r="E6" s="13" t="n">
        <v>2</v>
      </c>
      <c r="F6" s="13" t="n">
        <v>2</v>
      </c>
      <c r="G6" s="25">
        <f>IF(COUNT(B6:F6)=0,"",SUM(B6:F6))</f>
        <v/>
      </c>
      <c r="H6" s="13" t="n">
        <v>2</v>
      </c>
      <c r="I6" s="13" t="n">
        <v>2</v>
      </c>
      <c r="J6" s="13" t="n">
        <v>2</v>
      </c>
      <c r="K6" s="13" t="n">
        <v>2</v>
      </c>
      <c r="L6" s="13" t="n">
        <v>3</v>
      </c>
      <c r="M6" s="25">
        <f>IF(COUNT(H6:L6)=0,"",SUM(H6:L6))</f>
        <v/>
      </c>
      <c r="N6" s="13" t="n">
        <v>3</v>
      </c>
      <c r="O6" s="13" t="n">
        <v>2</v>
      </c>
      <c r="P6" s="13" t="n">
        <v>3</v>
      </c>
      <c r="Q6" s="13" t="n">
        <v>3</v>
      </c>
      <c r="R6" s="13" t="n">
        <v>3</v>
      </c>
      <c r="S6" s="25">
        <f>IF(COUNT(N6:R6)=0,"",SUM(N6:R6))</f>
        <v/>
      </c>
      <c r="T6" s="13" t="n">
        <v>3</v>
      </c>
      <c r="U6" s="13" t="n">
        <v>3</v>
      </c>
      <c r="V6" s="13" t="n">
        <v>3</v>
      </c>
      <c r="W6" s="13" t="n">
        <v>3</v>
      </c>
      <c r="X6" s="13" t="n">
        <v>3</v>
      </c>
      <c r="Y6" s="25">
        <f>IF(COUNT(T6:X6)=0,"",SUM(T6:X6))</f>
        <v/>
      </c>
      <c r="Z6" s="26">
        <f>IF(OR(G6="",Y6=""),"",G6)</f>
        <v/>
      </c>
      <c r="AA6" s="26">
        <f>IF(OR(G6="",Y6=""),"",Y6)</f>
        <v/>
      </c>
    </row>
    <row r="7">
      <c r="A7" s="12" t="inlineStr">
        <is>
          <t>2모둠 구름</t>
        </is>
      </c>
      <c r="B7" s="13" t="n">
        <v>3</v>
      </c>
      <c r="C7" s="13" t="n">
        <v>2</v>
      </c>
      <c r="D7" s="13" t="n">
        <v>2</v>
      </c>
      <c r="E7" s="13" t="n">
        <v>2</v>
      </c>
      <c r="F7" s="13" t="n">
        <v>3</v>
      </c>
      <c r="G7" s="25">
        <f>IF(COUNT(B7:F7)=0,"",SUM(B7:F7))</f>
        <v/>
      </c>
      <c r="H7" s="13" t="n">
        <v>3</v>
      </c>
      <c r="I7" s="13" t="n">
        <v>3</v>
      </c>
      <c r="J7" s="13" t="n">
        <v>3</v>
      </c>
      <c r="K7" s="13" t="n">
        <v>3</v>
      </c>
      <c r="L7" s="13" t="n">
        <v>3</v>
      </c>
      <c r="M7" s="25">
        <f>IF(COUNT(H7:L7)=0,"",SUM(H7:L7))</f>
        <v/>
      </c>
      <c r="N7" s="13" t="n">
        <v>4</v>
      </c>
      <c r="O7" s="13" t="n">
        <v>3</v>
      </c>
      <c r="P7" s="13" t="n">
        <v>3</v>
      </c>
      <c r="Q7" s="13" t="n">
        <v>3</v>
      </c>
      <c r="R7" s="13" t="n">
        <v>4</v>
      </c>
      <c r="S7" s="25">
        <f>IF(COUNT(N7:R7)=0,"",SUM(N7:R7))</f>
        <v/>
      </c>
      <c r="T7" s="13" t="n">
        <v>4</v>
      </c>
      <c r="U7" s="13" t="n">
        <v>4</v>
      </c>
      <c r="V7" s="13" t="n">
        <v>4</v>
      </c>
      <c r="W7" s="13" t="n">
        <v>3</v>
      </c>
      <c r="X7" s="13" t="n">
        <v>4</v>
      </c>
      <c r="Y7" s="25">
        <f>IF(COUNT(T7:X7)=0,"",SUM(T7:X7))</f>
        <v/>
      </c>
      <c r="Z7" s="26">
        <f>IF(OR(G7="",Y7=""),"",G7)</f>
        <v/>
      </c>
      <c r="AA7" s="26">
        <f>IF(OR(G7="",Y7=""),"",Y7)</f>
        <v/>
      </c>
    </row>
    <row r="8">
      <c r="A8" s="16" t="n"/>
      <c r="B8" s="17" t="n"/>
      <c r="C8" s="17" t="n"/>
      <c r="D8" s="17" t="n"/>
      <c r="E8" s="17" t="n"/>
      <c r="F8" s="17" t="n"/>
      <c r="G8" s="25">
        <f>IF(COUNT(B8:F8)=0,"",SUM(B8:F8))</f>
        <v/>
      </c>
      <c r="H8" s="17" t="n"/>
      <c r="I8" s="17" t="n"/>
      <c r="J8" s="17" t="n"/>
      <c r="K8" s="17" t="n"/>
      <c r="L8" s="17" t="n"/>
      <c r="M8" s="25">
        <f>IF(COUNT(H8:L8)=0,"",SUM(H8:L8))</f>
        <v/>
      </c>
      <c r="N8" s="17" t="n"/>
      <c r="O8" s="17" t="n"/>
      <c r="P8" s="17" t="n"/>
      <c r="Q8" s="17" t="n"/>
      <c r="R8" s="17" t="n"/>
      <c r="S8" s="25">
        <f>IF(COUNT(N8:R8)=0,"",SUM(N8:R8))</f>
        <v/>
      </c>
      <c r="T8" s="17" t="n"/>
      <c r="U8" s="17" t="n"/>
      <c r="V8" s="17" t="n"/>
      <c r="W8" s="17" t="n"/>
      <c r="X8" s="17" t="n"/>
      <c r="Y8" s="25">
        <f>IF(COUNT(T8:X8)=0,"",SUM(T8:X8))</f>
        <v/>
      </c>
      <c r="Z8" s="26">
        <f>IF(OR(G8="",Y8=""),"",G8)</f>
        <v/>
      </c>
      <c r="AA8" s="26">
        <f>IF(OR(G8="",Y8=""),"",Y8)</f>
        <v/>
      </c>
    </row>
    <row r="9">
      <c r="A9" s="16" t="n"/>
      <c r="B9" s="17" t="n"/>
      <c r="C9" s="17" t="n"/>
      <c r="D9" s="17" t="n"/>
      <c r="E9" s="17" t="n"/>
      <c r="F9" s="17" t="n"/>
      <c r="G9" s="25">
        <f>IF(COUNT(B9:F9)=0,"",SUM(B9:F9))</f>
        <v/>
      </c>
      <c r="H9" s="17" t="n"/>
      <c r="I9" s="17" t="n"/>
      <c r="J9" s="17" t="n"/>
      <c r="K9" s="17" t="n"/>
      <c r="L9" s="17" t="n"/>
      <c r="M9" s="25">
        <f>IF(COUNT(H9:L9)=0,"",SUM(H9:L9))</f>
        <v/>
      </c>
      <c r="N9" s="17" t="n"/>
      <c r="O9" s="17" t="n"/>
      <c r="P9" s="17" t="n"/>
      <c r="Q9" s="17" t="n"/>
      <c r="R9" s="17" t="n"/>
      <c r="S9" s="25">
        <f>IF(COUNT(N9:R9)=0,"",SUM(N9:R9))</f>
        <v/>
      </c>
      <c r="T9" s="17" t="n"/>
      <c r="U9" s="17" t="n"/>
      <c r="V9" s="17" t="n"/>
      <c r="W9" s="17" t="n"/>
      <c r="X9" s="17" t="n"/>
      <c r="Y9" s="25">
        <f>IF(COUNT(T9:X9)=0,"",SUM(T9:X9))</f>
        <v/>
      </c>
      <c r="Z9" s="26">
        <f>IF(OR(G9="",Y9=""),"",G9)</f>
        <v/>
      </c>
      <c r="AA9" s="26">
        <f>IF(OR(G9="",Y9=""),"",Y9)</f>
        <v/>
      </c>
    </row>
    <row r="10">
      <c r="A10" s="16" t="n"/>
      <c r="B10" s="17" t="n"/>
      <c r="C10" s="17" t="n"/>
      <c r="D10" s="17" t="n"/>
      <c r="E10" s="17" t="n"/>
      <c r="F10" s="17" t="n"/>
      <c r="G10" s="25">
        <f>IF(COUNT(B10:F10)=0,"",SUM(B10:F10))</f>
        <v/>
      </c>
      <c r="H10" s="17" t="n"/>
      <c r="I10" s="17" t="n"/>
      <c r="J10" s="17" t="n"/>
      <c r="K10" s="17" t="n"/>
      <c r="L10" s="17" t="n"/>
      <c r="M10" s="25">
        <f>IF(COUNT(H10:L10)=0,"",SUM(H10:L10))</f>
        <v/>
      </c>
      <c r="N10" s="17" t="n"/>
      <c r="O10" s="17" t="n"/>
      <c r="P10" s="17" t="n"/>
      <c r="Q10" s="17" t="n"/>
      <c r="R10" s="17" t="n"/>
      <c r="S10" s="25">
        <f>IF(COUNT(N10:R10)=0,"",SUM(N10:R10))</f>
        <v/>
      </c>
      <c r="T10" s="17" t="n"/>
      <c r="U10" s="17" t="n"/>
      <c r="V10" s="17" t="n"/>
      <c r="W10" s="17" t="n"/>
      <c r="X10" s="17" t="n"/>
      <c r="Y10" s="25">
        <f>IF(COUNT(T10:X10)=0,"",SUM(T10:X10))</f>
        <v/>
      </c>
      <c r="Z10" s="26">
        <f>IF(OR(G10="",Y10=""),"",G10)</f>
        <v/>
      </c>
      <c r="AA10" s="26">
        <f>IF(OR(G10="",Y10=""),"",Y10)</f>
        <v/>
      </c>
    </row>
    <row r="11">
      <c r="A11" s="16" t="n"/>
      <c r="B11" s="17" t="n"/>
      <c r="C11" s="17" t="n"/>
      <c r="D11" s="17" t="n"/>
      <c r="E11" s="17" t="n"/>
      <c r="F11" s="17" t="n"/>
      <c r="G11" s="25">
        <f>IF(COUNT(B11:F11)=0,"",SUM(B11:F11))</f>
        <v/>
      </c>
      <c r="H11" s="17" t="n"/>
      <c r="I11" s="17" t="n"/>
      <c r="J11" s="17" t="n"/>
      <c r="K11" s="17" t="n"/>
      <c r="L11" s="17" t="n"/>
      <c r="M11" s="25">
        <f>IF(COUNT(H11:L11)=0,"",SUM(H11:L11))</f>
        <v/>
      </c>
      <c r="N11" s="17" t="n"/>
      <c r="O11" s="17" t="n"/>
      <c r="P11" s="17" t="n"/>
      <c r="Q11" s="17" t="n"/>
      <c r="R11" s="17" t="n"/>
      <c r="S11" s="25">
        <f>IF(COUNT(N11:R11)=0,"",SUM(N11:R11))</f>
        <v/>
      </c>
      <c r="T11" s="17" t="n"/>
      <c r="U11" s="17" t="n"/>
      <c r="V11" s="17" t="n"/>
      <c r="W11" s="17" t="n"/>
      <c r="X11" s="17" t="n"/>
      <c r="Y11" s="25">
        <f>IF(COUNT(T11:X11)=0,"",SUM(T11:X11))</f>
        <v/>
      </c>
      <c r="Z11" s="26">
        <f>IF(OR(G11="",Y11=""),"",G11)</f>
        <v/>
      </c>
      <c r="AA11" s="26">
        <f>IF(OR(G11="",Y11=""),"",Y11)</f>
        <v/>
      </c>
    </row>
    <row r="12">
      <c r="A12" s="16" t="n"/>
      <c r="B12" s="17" t="n"/>
      <c r="C12" s="17" t="n"/>
      <c r="D12" s="17" t="n"/>
      <c r="E12" s="17" t="n"/>
      <c r="F12" s="17" t="n"/>
      <c r="G12" s="25">
        <f>IF(COUNT(B12:F12)=0,"",SUM(B12:F12))</f>
        <v/>
      </c>
      <c r="H12" s="17" t="n"/>
      <c r="I12" s="17" t="n"/>
      <c r="J12" s="17" t="n"/>
      <c r="K12" s="17" t="n"/>
      <c r="L12" s="17" t="n"/>
      <c r="M12" s="25">
        <f>IF(COUNT(H12:L12)=0,"",SUM(H12:L12))</f>
        <v/>
      </c>
      <c r="N12" s="17" t="n"/>
      <c r="O12" s="17" t="n"/>
      <c r="P12" s="17" t="n"/>
      <c r="Q12" s="17" t="n"/>
      <c r="R12" s="17" t="n"/>
      <c r="S12" s="25">
        <f>IF(COUNT(N12:R12)=0,"",SUM(N12:R12))</f>
        <v/>
      </c>
      <c r="T12" s="17" t="n"/>
      <c r="U12" s="17" t="n"/>
      <c r="V12" s="17" t="n"/>
      <c r="W12" s="17" t="n"/>
      <c r="X12" s="17" t="n"/>
      <c r="Y12" s="25">
        <f>IF(COUNT(T12:X12)=0,"",SUM(T12:X12))</f>
        <v/>
      </c>
      <c r="Z12" s="26">
        <f>IF(OR(G12="",Y12=""),"",G12)</f>
        <v/>
      </c>
      <c r="AA12" s="26">
        <f>IF(OR(G12="",Y12=""),"",Y12)</f>
        <v/>
      </c>
    </row>
    <row r="13">
      <c r="A13" s="16" t="n"/>
      <c r="B13" s="17" t="n"/>
      <c r="C13" s="17" t="n"/>
      <c r="D13" s="17" t="n"/>
      <c r="E13" s="17" t="n"/>
      <c r="F13" s="17" t="n"/>
      <c r="G13" s="25">
        <f>IF(COUNT(B13:F13)=0,"",SUM(B13:F13))</f>
        <v/>
      </c>
      <c r="H13" s="17" t="n"/>
      <c r="I13" s="17" t="n"/>
      <c r="J13" s="17" t="n"/>
      <c r="K13" s="17" t="n"/>
      <c r="L13" s="17" t="n"/>
      <c r="M13" s="25">
        <f>IF(COUNT(H13:L13)=0,"",SUM(H13:L13))</f>
        <v/>
      </c>
      <c r="N13" s="17" t="n"/>
      <c r="O13" s="17" t="n"/>
      <c r="P13" s="17" t="n"/>
      <c r="Q13" s="17" t="n"/>
      <c r="R13" s="17" t="n"/>
      <c r="S13" s="25">
        <f>IF(COUNT(N13:R13)=0,"",SUM(N13:R13))</f>
        <v/>
      </c>
      <c r="T13" s="17" t="n"/>
      <c r="U13" s="17" t="n"/>
      <c r="V13" s="17" t="n"/>
      <c r="W13" s="17" t="n"/>
      <c r="X13" s="17" t="n"/>
      <c r="Y13" s="25">
        <f>IF(COUNT(T13:X13)=0,"",SUM(T13:X13))</f>
        <v/>
      </c>
      <c r="Z13" s="26">
        <f>IF(OR(G13="",Y13=""),"",G13)</f>
        <v/>
      </c>
      <c r="AA13" s="26">
        <f>IF(OR(G13="",Y13=""),"",Y13)</f>
        <v/>
      </c>
    </row>
    <row r="14">
      <c r="A14" s="16" t="n"/>
      <c r="B14" s="17" t="n"/>
      <c r="C14" s="17" t="n"/>
      <c r="D14" s="17" t="n"/>
      <c r="E14" s="17" t="n"/>
      <c r="F14" s="17" t="n"/>
      <c r="G14" s="25">
        <f>IF(COUNT(B14:F14)=0,"",SUM(B14:F14))</f>
        <v/>
      </c>
      <c r="H14" s="17" t="n"/>
      <c r="I14" s="17" t="n"/>
      <c r="J14" s="17" t="n"/>
      <c r="K14" s="17" t="n"/>
      <c r="L14" s="17" t="n"/>
      <c r="M14" s="25">
        <f>IF(COUNT(H14:L14)=0,"",SUM(H14:L14))</f>
        <v/>
      </c>
      <c r="N14" s="17" t="n"/>
      <c r="O14" s="17" t="n"/>
      <c r="P14" s="17" t="n"/>
      <c r="Q14" s="17" t="n"/>
      <c r="R14" s="17" t="n"/>
      <c r="S14" s="25">
        <f>IF(COUNT(N14:R14)=0,"",SUM(N14:R14))</f>
        <v/>
      </c>
      <c r="T14" s="17" t="n"/>
      <c r="U14" s="17" t="n"/>
      <c r="V14" s="17" t="n"/>
      <c r="W14" s="17" t="n"/>
      <c r="X14" s="17" t="n"/>
      <c r="Y14" s="25">
        <f>IF(COUNT(T14:X14)=0,"",SUM(T14:X14))</f>
        <v/>
      </c>
      <c r="Z14" s="26">
        <f>IF(OR(G14="",Y14=""),"",G14)</f>
        <v/>
      </c>
      <c r="AA14" s="26">
        <f>IF(OR(G14="",Y14=""),"",Y14)</f>
        <v/>
      </c>
    </row>
    <row r="15">
      <c r="A15" s="16" t="n"/>
      <c r="B15" s="17" t="n"/>
      <c r="C15" s="17" t="n"/>
      <c r="D15" s="17" t="n"/>
      <c r="E15" s="17" t="n"/>
      <c r="F15" s="17" t="n"/>
      <c r="G15" s="25">
        <f>IF(COUNT(B15:F15)=0,"",SUM(B15:F15))</f>
        <v/>
      </c>
      <c r="H15" s="17" t="n"/>
      <c r="I15" s="17" t="n"/>
      <c r="J15" s="17" t="n"/>
      <c r="K15" s="17" t="n"/>
      <c r="L15" s="17" t="n"/>
      <c r="M15" s="25">
        <f>IF(COUNT(H15:L15)=0,"",SUM(H15:L15))</f>
        <v/>
      </c>
      <c r="N15" s="17" t="n"/>
      <c r="O15" s="17" t="n"/>
      <c r="P15" s="17" t="n"/>
      <c r="Q15" s="17" t="n"/>
      <c r="R15" s="17" t="n"/>
      <c r="S15" s="25">
        <f>IF(COUNT(N15:R15)=0,"",SUM(N15:R15))</f>
        <v/>
      </c>
      <c r="T15" s="17" t="n"/>
      <c r="U15" s="17" t="n"/>
      <c r="V15" s="17" t="n"/>
      <c r="W15" s="17" t="n"/>
      <c r="X15" s="17" t="n"/>
      <c r="Y15" s="25">
        <f>IF(COUNT(T15:X15)=0,"",SUM(T15:X15))</f>
        <v/>
      </c>
      <c r="Z15" s="26">
        <f>IF(OR(G15="",Y15=""),"",G15)</f>
        <v/>
      </c>
      <c r="AA15" s="26">
        <f>IF(OR(G15="",Y15=""),"",Y15)</f>
        <v/>
      </c>
    </row>
    <row r="16">
      <c r="A16" s="16" t="n"/>
      <c r="B16" s="17" t="n"/>
      <c r="C16" s="17" t="n"/>
      <c r="D16" s="17" t="n"/>
      <c r="E16" s="17" t="n"/>
      <c r="F16" s="17" t="n"/>
      <c r="G16" s="25">
        <f>IF(COUNT(B16:F16)=0,"",SUM(B16:F16))</f>
        <v/>
      </c>
      <c r="H16" s="17" t="n"/>
      <c r="I16" s="17" t="n"/>
      <c r="J16" s="17" t="n"/>
      <c r="K16" s="17" t="n"/>
      <c r="L16" s="17" t="n"/>
      <c r="M16" s="25">
        <f>IF(COUNT(H16:L16)=0,"",SUM(H16:L16))</f>
        <v/>
      </c>
      <c r="N16" s="17" t="n"/>
      <c r="O16" s="17" t="n"/>
      <c r="P16" s="17" t="n"/>
      <c r="Q16" s="17" t="n"/>
      <c r="R16" s="17" t="n"/>
      <c r="S16" s="25">
        <f>IF(COUNT(N16:R16)=0,"",SUM(N16:R16))</f>
        <v/>
      </c>
      <c r="T16" s="17" t="n"/>
      <c r="U16" s="17" t="n"/>
      <c r="V16" s="17" t="n"/>
      <c r="W16" s="17" t="n"/>
      <c r="X16" s="17" t="n"/>
      <c r="Y16" s="25">
        <f>IF(COUNT(T16:X16)=0,"",SUM(T16:X16))</f>
        <v/>
      </c>
      <c r="Z16" s="26">
        <f>IF(OR(G16="",Y16=""),"",G16)</f>
        <v/>
      </c>
      <c r="AA16" s="26">
        <f>IF(OR(G16="",Y16=""),"",Y16)</f>
        <v/>
      </c>
    </row>
    <row r="17">
      <c r="A17" s="16" t="n"/>
      <c r="B17" s="17" t="n"/>
      <c r="C17" s="17" t="n"/>
      <c r="D17" s="17" t="n"/>
      <c r="E17" s="17" t="n"/>
      <c r="F17" s="17" t="n"/>
      <c r="G17" s="25">
        <f>IF(COUNT(B17:F17)=0,"",SUM(B17:F17))</f>
        <v/>
      </c>
      <c r="H17" s="17" t="n"/>
      <c r="I17" s="17" t="n"/>
      <c r="J17" s="17" t="n"/>
      <c r="K17" s="17" t="n"/>
      <c r="L17" s="17" t="n"/>
      <c r="M17" s="25">
        <f>IF(COUNT(H17:L17)=0,"",SUM(H17:L17))</f>
        <v/>
      </c>
      <c r="N17" s="17" t="n"/>
      <c r="O17" s="17" t="n"/>
      <c r="P17" s="17" t="n"/>
      <c r="Q17" s="17" t="n"/>
      <c r="R17" s="17" t="n"/>
      <c r="S17" s="25">
        <f>IF(COUNT(N17:R17)=0,"",SUM(N17:R17))</f>
        <v/>
      </c>
      <c r="T17" s="17" t="n"/>
      <c r="U17" s="17" t="n"/>
      <c r="V17" s="17" t="n"/>
      <c r="W17" s="17" t="n"/>
      <c r="X17" s="17" t="n"/>
      <c r="Y17" s="25">
        <f>IF(COUNT(T17:X17)=0,"",SUM(T17:X17))</f>
        <v/>
      </c>
      <c r="Z17" s="26">
        <f>IF(OR(G17="",Y17=""),"",G17)</f>
        <v/>
      </c>
      <c r="AA17" s="26">
        <f>IF(OR(G17="",Y17=""),"",Y17)</f>
        <v/>
      </c>
    </row>
    <row r="18">
      <c r="A18" s="16" t="n"/>
      <c r="B18" s="17" t="n"/>
      <c r="C18" s="17" t="n"/>
      <c r="D18" s="17" t="n"/>
      <c r="E18" s="17" t="n"/>
      <c r="F18" s="17" t="n"/>
      <c r="G18" s="25">
        <f>IF(COUNT(B18:F18)=0,"",SUM(B18:F18))</f>
        <v/>
      </c>
      <c r="H18" s="17" t="n"/>
      <c r="I18" s="17" t="n"/>
      <c r="J18" s="17" t="n"/>
      <c r="K18" s="17" t="n"/>
      <c r="L18" s="17" t="n"/>
      <c r="M18" s="25">
        <f>IF(COUNT(H18:L18)=0,"",SUM(H18:L18))</f>
        <v/>
      </c>
      <c r="N18" s="17" t="n"/>
      <c r="O18" s="17" t="n"/>
      <c r="P18" s="17" t="n"/>
      <c r="Q18" s="17" t="n"/>
      <c r="R18" s="17" t="n"/>
      <c r="S18" s="25">
        <f>IF(COUNT(N18:R18)=0,"",SUM(N18:R18))</f>
        <v/>
      </c>
      <c r="T18" s="17" t="n"/>
      <c r="U18" s="17" t="n"/>
      <c r="V18" s="17" t="n"/>
      <c r="W18" s="17" t="n"/>
      <c r="X18" s="17" t="n"/>
      <c r="Y18" s="25">
        <f>IF(COUNT(T18:X18)=0,"",SUM(T18:X18))</f>
        <v/>
      </c>
      <c r="Z18" s="26">
        <f>IF(OR(G18="",Y18=""),"",G18)</f>
        <v/>
      </c>
      <c r="AA18" s="26">
        <f>IF(OR(G18="",Y18=""),"",Y18)</f>
        <v/>
      </c>
    </row>
    <row r="19">
      <c r="A19" s="16" t="n"/>
      <c r="B19" s="17" t="n"/>
      <c r="C19" s="17" t="n"/>
      <c r="D19" s="17" t="n"/>
      <c r="E19" s="17" t="n"/>
      <c r="F19" s="17" t="n"/>
      <c r="G19" s="25">
        <f>IF(COUNT(B19:F19)=0,"",SUM(B19:F19))</f>
        <v/>
      </c>
      <c r="H19" s="17" t="n"/>
      <c r="I19" s="17" t="n"/>
      <c r="J19" s="17" t="n"/>
      <c r="K19" s="17" t="n"/>
      <c r="L19" s="17" t="n"/>
      <c r="M19" s="25">
        <f>IF(COUNT(H19:L19)=0,"",SUM(H19:L19))</f>
        <v/>
      </c>
      <c r="N19" s="17" t="n"/>
      <c r="O19" s="17" t="n"/>
      <c r="P19" s="17" t="n"/>
      <c r="Q19" s="17" t="n"/>
      <c r="R19" s="17" t="n"/>
      <c r="S19" s="25">
        <f>IF(COUNT(N19:R19)=0,"",SUM(N19:R19))</f>
        <v/>
      </c>
      <c r="T19" s="17" t="n"/>
      <c r="U19" s="17" t="n"/>
      <c r="V19" s="17" t="n"/>
      <c r="W19" s="17" t="n"/>
      <c r="X19" s="17" t="n"/>
      <c r="Y19" s="25">
        <f>IF(COUNT(T19:X19)=0,"",SUM(T19:X19))</f>
        <v/>
      </c>
      <c r="Z19" s="26">
        <f>IF(OR(G19="",Y19=""),"",G19)</f>
        <v/>
      </c>
      <c r="AA19" s="26">
        <f>IF(OR(G19="",Y19=""),"",Y19)</f>
        <v/>
      </c>
    </row>
    <row r="20">
      <c r="A20" s="16" t="n"/>
      <c r="B20" s="17" t="n"/>
      <c r="C20" s="17" t="n"/>
      <c r="D20" s="17" t="n"/>
      <c r="E20" s="17" t="n"/>
      <c r="F20" s="17" t="n"/>
      <c r="G20" s="25">
        <f>IF(COUNT(B20:F20)=0,"",SUM(B20:F20))</f>
        <v/>
      </c>
      <c r="H20" s="17" t="n"/>
      <c r="I20" s="17" t="n"/>
      <c r="J20" s="17" t="n"/>
      <c r="K20" s="17" t="n"/>
      <c r="L20" s="17" t="n"/>
      <c r="M20" s="25">
        <f>IF(COUNT(H20:L20)=0,"",SUM(H20:L20))</f>
        <v/>
      </c>
      <c r="N20" s="17" t="n"/>
      <c r="O20" s="17" t="n"/>
      <c r="P20" s="17" t="n"/>
      <c r="Q20" s="17" t="n"/>
      <c r="R20" s="17" t="n"/>
      <c r="S20" s="25">
        <f>IF(COUNT(N20:R20)=0,"",SUM(N20:R20))</f>
        <v/>
      </c>
      <c r="T20" s="17" t="n"/>
      <c r="U20" s="17" t="n"/>
      <c r="V20" s="17" t="n"/>
      <c r="W20" s="17" t="n"/>
      <c r="X20" s="17" t="n"/>
      <c r="Y20" s="25">
        <f>IF(COUNT(T20:X20)=0,"",SUM(T20:X20))</f>
        <v/>
      </c>
      <c r="Z20" s="26">
        <f>IF(OR(G20="",Y20=""),"",G20)</f>
        <v/>
      </c>
      <c r="AA20" s="26">
        <f>IF(OR(G20="",Y20=""),"",Y20)</f>
        <v/>
      </c>
    </row>
    <row r="21">
      <c r="A21" s="16" t="n"/>
      <c r="B21" s="17" t="n"/>
      <c r="C21" s="17" t="n"/>
      <c r="D21" s="17" t="n"/>
      <c r="E21" s="17" t="n"/>
      <c r="F21" s="17" t="n"/>
      <c r="G21" s="25">
        <f>IF(COUNT(B21:F21)=0,"",SUM(B21:F21))</f>
        <v/>
      </c>
      <c r="H21" s="17" t="n"/>
      <c r="I21" s="17" t="n"/>
      <c r="J21" s="17" t="n"/>
      <c r="K21" s="17" t="n"/>
      <c r="L21" s="17" t="n"/>
      <c r="M21" s="25">
        <f>IF(COUNT(H21:L21)=0,"",SUM(H21:L21))</f>
        <v/>
      </c>
      <c r="N21" s="17" t="n"/>
      <c r="O21" s="17" t="n"/>
      <c r="P21" s="17" t="n"/>
      <c r="Q21" s="17" t="n"/>
      <c r="R21" s="17" t="n"/>
      <c r="S21" s="25">
        <f>IF(COUNT(N21:R21)=0,"",SUM(N21:R21))</f>
        <v/>
      </c>
      <c r="T21" s="17" t="n"/>
      <c r="U21" s="17" t="n"/>
      <c r="V21" s="17" t="n"/>
      <c r="W21" s="17" t="n"/>
      <c r="X21" s="17" t="n"/>
      <c r="Y21" s="25">
        <f>IF(COUNT(T21:X21)=0,"",SUM(T21:X21))</f>
        <v/>
      </c>
      <c r="Z21" s="26">
        <f>IF(OR(G21="",Y21=""),"",G21)</f>
        <v/>
      </c>
      <c r="AA21" s="26">
        <f>IF(OR(G21="",Y21=""),"",Y21)</f>
        <v/>
      </c>
    </row>
    <row r="22">
      <c r="A22" s="16" t="n"/>
      <c r="B22" s="17" t="n"/>
      <c r="C22" s="17" t="n"/>
      <c r="D22" s="17" t="n"/>
      <c r="E22" s="17" t="n"/>
      <c r="F22" s="17" t="n"/>
      <c r="G22" s="25">
        <f>IF(COUNT(B22:F22)=0,"",SUM(B22:F22))</f>
        <v/>
      </c>
      <c r="H22" s="17" t="n"/>
      <c r="I22" s="17" t="n"/>
      <c r="J22" s="17" t="n"/>
      <c r="K22" s="17" t="n"/>
      <c r="L22" s="17" t="n"/>
      <c r="M22" s="25">
        <f>IF(COUNT(H22:L22)=0,"",SUM(H22:L22))</f>
        <v/>
      </c>
      <c r="N22" s="17" t="n"/>
      <c r="O22" s="17" t="n"/>
      <c r="P22" s="17" t="n"/>
      <c r="Q22" s="17" t="n"/>
      <c r="R22" s="17" t="n"/>
      <c r="S22" s="25">
        <f>IF(COUNT(N22:R22)=0,"",SUM(N22:R22))</f>
        <v/>
      </c>
      <c r="T22" s="17" t="n"/>
      <c r="U22" s="17" t="n"/>
      <c r="V22" s="17" t="n"/>
      <c r="W22" s="17" t="n"/>
      <c r="X22" s="17" t="n"/>
      <c r="Y22" s="25">
        <f>IF(COUNT(T22:X22)=0,"",SUM(T22:X22))</f>
        <v/>
      </c>
      <c r="Z22" s="26">
        <f>IF(OR(G22="",Y22=""),"",G22)</f>
        <v/>
      </c>
      <c r="AA22" s="26">
        <f>IF(OR(G22="",Y22=""),"",Y22)</f>
        <v/>
      </c>
    </row>
    <row r="23">
      <c r="A23" s="16" t="n"/>
      <c r="B23" s="17" t="n"/>
      <c r="C23" s="17" t="n"/>
      <c r="D23" s="17" t="n"/>
      <c r="E23" s="17" t="n"/>
      <c r="F23" s="17" t="n"/>
      <c r="G23" s="25">
        <f>IF(COUNT(B23:F23)=0,"",SUM(B23:F23))</f>
        <v/>
      </c>
      <c r="H23" s="17" t="n"/>
      <c r="I23" s="17" t="n"/>
      <c r="J23" s="17" t="n"/>
      <c r="K23" s="17" t="n"/>
      <c r="L23" s="17" t="n"/>
      <c r="M23" s="25">
        <f>IF(COUNT(H23:L23)=0,"",SUM(H23:L23))</f>
        <v/>
      </c>
      <c r="N23" s="17" t="n"/>
      <c r="O23" s="17" t="n"/>
      <c r="P23" s="17" t="n"/>
      <c r="Q23" s="17" t="n"/>
      <c r="R23" s="17" t="n"/>
      <c r="S23" s="25">
        <f>IF(COUNT(N23:R23)=0,"",SUM(N23:R23))</f>
        <v/>
      </c>
      <c r="T23" s="17" t="n"/>
      <c r="U23" s="17" t="n"/>
      <c r="V23" s="17" t="n"/>
      <c r="W23" s="17" t="n"/>
      <c r="X23" s="17" t="n"/>
      <c r="Y23" s="25">
        <f>IF(COUNT(T23:X23)=0,"",SUM(T23:X23))</f>
        <v/>
      </c>
      <c r="Z23" s="26">
        <f>IF(OR(G23="",Y23=""),"",G23)</f>
        <v/>
      </c>
      <c r="AA23" s="26">
        <f>IF(OR(G23="",Y23=""),"",Y23)</f>
        <v/>
      </c>
    </row>
    <row r="24">
      <c r="A24" s="16" t="n"/>
      <c r="B24" s="17" t="n"/>
      <c r="C24" s="17" t="n"/>
      <c r="D24" s="17" t="n"/>
      <c r="E24" s="17" t="n"/>
      <c r="F24" s="17" t="n"/>
      <c r="G24" s="25">
        <f>IF(COUNT(B24:F24)=0,"",SUM(B24:F24))</f>
        <v/>
      </c>
      <c r="H24" s="17" t="n"/>
      <c r="I24" s="17" t="n"/>
      <c r="J24" s="17" t="n"/>
      <c r="K24" s="17" t="n"/>
      <c r="L24" s="17" t="n"/>
      <c r="M24" s="25">
        <f>IF(COUNT(H24:L24)=0,"",SUM(H24:L24))</f>
        <v/>
      </c>
      <c r="N24" s="17" t="n"/>
      <c r="O24" s="17" t="n"/>
      <c r="P24" s="17" t="n"/>
      <c r="Q24" s="17" t="n"/>
      <c r="R24" s="17" t="n"/>
      <c r="S24" s="25">
        <f>IF(COUNT(N24:R24)=0,"",SUM(N24:R24))</f>
        <v/>
      </c>
      <c r="T24" s="17" t="n"/>
      <c r="U24" s="17" t="n"/>
      <c r="V24" s="17" t="n"/>
      <c r="W24" s="17" t="n"/>
      <c r="X24" s="17" t="n"/>
      <c r="Y24" s="25">
        <f>IF(COUNT(T24:X24)=0,"",SUM(T24:X24))</f>
        <v/>
      </c>
      <c r="Z24" s="26">
        <f>IF(OR(G24="",Y24=""),"",G24)</f>
        <v/>
      </c>
      <c r="AA24" s="26">
        <f>IF(OR(G24="",Y24=""),"",Y24)</f>
        <v/>
      </c>
    </row>
    <row r="25">
      <c r="A25" s="16" t="n"/>
      <c r="B25" s="17" t="n"/>
      <c r="C25" s="17" t="n"/>
      <c r="D25" s="17" t="n"/>
      <c r="E25" s="17" t="n"/>
      <c r="F25" s="17" t="n"/>
      <c r="G25" s="25">
        <f>IF(COUNT(B25:F25)=0,"",SUM(B25:F25))</f>
        <v/>
      </c>
      <c r="H25" s="17" t="n"/>
      <c r="I25" s="17" t="n"/>
      <c r="J25" s="17" t="n"/>
      <c r="K25" s="17" t="n"/>
      <c r="L25" s="17" t="n"/>
      <c r="M25" s="25">
        <f>IF(COUNT(H25:L25)=0,"",SUM(H25:L25))</f>
        <v/>
      </c>
      <c r="N25" s="17" t="n"/>
      <c r="O25" s="17" t="n"/>
      <c r="P25" s="17" t="n"/>
      <c r="Q25" s="17" t="n"/>
      <c r="R25" s="17" t="n"/>
      <c r="S25" s="25">
        <f>IF(COUNT(N25:R25)=0,"",SUM(N25:R25))</f>
        <v/>
      </c>
      <c r="T25" s="17" t="n"/>
      <c r="U25" s="17" t="n"/>
      <c r="V25" s="17" t="n"/>
      <c r="W25" s="17" t="n"/>
      <c r="X25" s="17" t="n"/>
      <c r="Y25" s="25">
        <f>IF(COUNT(T25:X25)=0,"",SUM(T25:X25))</f>
        <v/>
      </c>
      <c r="Z25" s="26">
        <f>IF(OR(G25="",Y25=""),"",G25)</f>
        <v/>
      </c>
      <c r="AA25" s="26">
        <f>IF(OR(G25="",Y25=""),"",Y25)</f>
        <v/>
      </c>
    </row>
    <row r="26">
      <c r="A26" s="16" t="n"/>
      <c r="B26" s="17" t="n"/>
      <c r="C26" s="17" t="n"/>
      <c r="D26" s="17" t="n"/>
      <c r="E26" s="17" t="n"/>
      <c r="F26" s="17" t="n"/>
      <c r="G26" s="25">
        <f>IF(COUNT(B26:F26)=0,"",SUM(B26:F26))</f>
        <v/>
      </c>
      <c r="H26" s="17" t="n"/>
      <c r="I26" s="17" t="n"/>
      <c r="J26" s="17" t="n"/>
      <c r="K26" s="17" t="n"/>
      <c r="L26" s="17" t="n"/>
      <c r="M26" s="25">
        <f>IF(COUNT(H26:L26)=0,"",SUM(H26:L26))</f>
        <v/>
      </c>
      <c r="N26" s="17" t="n"/>
      <c r="O26" s="17" t="n"/>
      <c r="P26" s="17" t="n"/>
      <c r="Q26" s="17" t="n"/>
      <c r="R26" s="17" t="n"/>
      <c r="S26" s="25">
        <f>IF(COUNT(N26:R26)=0,"",SUM(N26:R26))</f>
        <v/>
      </c>
      <c r="T26" s="17" t="n"/>
      <c r="U26" s="17" t="n"/>
      <c r="V26" s="17" t="n"/>
      <c r="W26" s="17" t="n"/>
      <c r="X26" s="17" t="n"/>
      <c r="Y26" s="25">
        <f>IF(COUNT(T26:X26)=0,"",SUM(T26:X26))</f>
        <v/>
      </c>
      <c r="Z26" s="26">
        <f>IF(OR(G26="",Y26=""),"",G26)</f>
        <v/>
      </c>
      <c r="AA26" s="26">
        <f>IF(OR(G26="",Y26=""),"",Y26)</f>
        <v/>
      </c>
    </row>
    <row r="27">
      <c r="A27" s="16" t="n"/>
      <c r="B27" s="17" t="n"/>
      <c r="C27" s="17" t="n"/>
      <c r="D27" s="17" t="n"/>
      <c r="E27" s="17" t="n"/>
      <c r="F27" s="17" t="n"/>
      <c r="G27" s="25">
        <f>IF(COUNT(B27:F27)=0,"",SUM(B27:F27))</f>
        <v/>
      </c>
      <c r="H27" s="17" t="n"/>
      <c r="I27" s="17" t="n"/>
      <c r="J27" s="17" t="n"/>
      <c r="K27" s="17" t="n"/>
      <c r="L27" s="17" t="n"/>
      <c r="M27" s="25">
        <f>IF(COUNT(H27:L27)=0,"",SUM(H27:L27))</f>
        <v/>
      </c>
      <c r="N27" s="17" t="n"/>
      <c r="O27" s="17" t="n"/>
      <c r="P27" s="17" t="n"/>
      <c r="Q27" s="17" t="n"/>
      <c r="R27" s="17" t="n"/>
      <c r="S27" s="25">
        <f>IF(COUNT(N27:R27)=0,"",SUM(N27:R27))</f>
        <v/>
      </c>
      <c r="T27" s="17" t="n"/>
      <c r="U27" s="17" t="n"/>
      <c r="V27" s="17" t="n"/>
      <c r="W27" s="17" t="n"/>
      <c r="X27" s="17" t="n"/>
      <c r="Y27" s="25">
        <f>IF(COUNT(T27:X27)=0,"",SUM(T27:X27))</f>
        <v/>
      </c>
      <c r="Z27" s="26">
        <f>IF(OR(G27="",Y27=""),"",G27)</f>
        <v/>
      </c>
      <c r="AA27" s="26">
        <f>IF(OR(G27="",Y27=""),"",Y27)</f>
        <v/>
      </c>
    </row>
    <row r="28">
      <c r="A28" s="16" t="n"/>
      <c r="B28" s="17" t="n"/>
      <c r="C28" s="17" t="n"/>
      <c r="D28" s="17" t="n"/>
      <c r="E28" s="17" t="n"/>
      <c r="F28" s="17" t="n"/>
      <c r="G28" s="25">
        <f>IF(COUNT(B28:F28)=0,"",SUM(B28:F28))</f>
        <v/>
      </c>
      <c r="H28" s="17" t="n"/>
      <c r="I28" s="17" t="n"/>
      <c r="J28" s="17" t="n"/>
      <c r="K28" s="17" t="n"/>
      <c r="L28" s="17" t="n"/>
      <c r="M28" s="25">
        <f>IF(COUNT(H28:L28)=0,"",SUM(H28:L28))</f>
        <v/>
      </c>
      <c r="N28" s="17" t="n"/>
      <c r="O28" s="17" t="n"/>
      <c r="P28" s="17" t="n"/>
      <c r="Q28" s="17" t="n"/>
      <c r="R28" s="17" t="n"/>
      <c r="S28" s="25">
        <f>IF(COUNT(N28:R28)=0,"",SUM(N28:R28))</f>
        <v/>
      </c>
      <c r="T28" s="17" t="n"/>
      <c r="U28" s="17" t="n"/>
      <c r="V28" s="17" t="n"/>
      <c r="W28" s="17" t="n"/>
      <c r="X28" s="17" t="n"/>
      <c r="Y28" s="25">
        <f>IF(COUNT(T28:X28)=0,"",SUM(T28:X28))</f>
        <v/>
      </c>
      <c r="Z28" s="26">
        <f>IF(OR(G28="",Y28=""),"",G28)</f>
        <v/>
      </c>
      <c r="AA28" s="26">
        <f>IF(OR(G28="",Y28=""),"",Y28)</f>
        <v/>
      </c>
    </row>
    <row r="29">
      <c r="A29" s="16" t="n"/>
      <c r="B29" s="17" t="n"/>
      <c r="C29" s="17" t="n"/>
      <c r="D29" s="17" t="n"/>
      <c r="E29" s="17" t="n"/>
      <c r="F29" s="17" t="n"/>
      <c r="G29" s="25">
        <f>IF(COUNT(B29:F29)=0,"",SUM(B29:F29))</f>
        <v/>
      </c>
      <c r="H29" s="17" t="n"/>
      <c r="I29" s="17" t="n"/>
      <c r="J29" s="17" t="n"/>
      <c r="K29" s="17" t="n"/>
      <c r="L29" s="17" t="n"/>
      <c r="M29" s="25">
        <f>IF(COUNT(H29:L29)=0,"",SUM(H29:L29))</f>
        <v/>
      </c>
      <c r="N29" s="17" t="n"/>
      <c r="O29" s="17" t="n"/>
      <c r="P29" s="17" t="n"/>
      <c r="Q29" s="17" t="n"/>
      <c r="R29" s="17" t="n"/>
      <c r="S29" s="25">
        <f>IF(COUNT(N29:R29)=0,"",SUM(N29:R29))</f>
        <v/>
      </c>
      <c r="T29" s="17" t="n"/>
      <c r="U29" s="17" t="n"/>
      <c r="V29" s="17" t="n"/>
      <c r="W29" s="17" t="n"/>
      <c r="X29" s="17" t="n"/>
      <c r="Y29" s="25">
        <f>IF(COUNT(T29:X29)=0,"",SUM(T29:X29))</f>
        <v/>
      </c>
      <c r="Z29" s="26">
        <f>IF(OR(G29="",Y29=""),"",G29)</f>
        <v/>
      </c>
      <c r="AA29" s="26">
        <f>IF(OR(G29="",Y29=""),"",Y29)</f>
        <v/>
      </c>
    </row>
    <row r="30">
      <c r="A30" s="16" t="n"/>
      <c r="B30" s="17" t="n"/>
      <c r="C30" s="17" t="n"/>
      <c r="D30" s="17" t="n"/>
      <c r="E30" s="17" t="n"/>
      <c r="F30" s="17" t="n"/>
      <c r="G30" s="25">
        <f>IF(COUNT(B30:F30)=0,"",SUM(B30:F30))</f>
        <v/>
      </c>
      <c r="H30" s="17" t="n"/>
      <c r="I30" s="17" t="n"/>
      <c r="J30" s="17" t="n"/>
      <c r="K30" s="17" t="n"/>
      <c r="L30" s="17" t="n"/>
      <c r="M30" s="25">
        <f>IF(COUNT(H30:L30)=0,"",SUM(H30:L30))</f>
        <v/>
      </c>
      <c r="N30" s="17" t="n"/>
      <c r="O30" s="17" t="n"/>
      <c r="P30" s="17" t="n"/>
      <c r="Q30" s="17" t="n"/>
      <c r="R30" s="17" t="n"/>
      <c r="S30" s="25">
        <f>IF(COUNT(N30:R30)=0,"",SUM(N30:R30))</f>
        <v/>
      </c>
      <c r="T30" s="17" t="n"/>
      <c r="U30" s="17" t="n"/>
      <c r="V30" s="17" t="n"/>
      <c r="W30" s="17" t="n"/>
      <c r="X30" s="17" t="n"/>
      <c r="Y30" s="25">
        <f>IF(COUNT(T30:X30)=0,"",SUM(T30:X30))</f>
        <v/>
      </c>
      <c r="Z30" s="26">
        <f>IF(OR(G30="",Y30=""),"",G30)</f>
        <v/>
      </c>
      <c r="AA30" s="26">
        <f>IF(OR(G30="",Y30=""),"",Y30)</f>
        <v/>
      </c>
    </row>
    <row r="31">
      <c r="A31" s="16" t="n"/>
      <c r="B31" s="17" t="n"/>
      <c r="C31" s="17" t="n"/>
      <c r="D31" s="17" t="n"/>
      <c r="E31" s="17" t="n"/>
      <c r="F31" s="17" t="n"/>
      <c r="G31" s="25">
        <f>IF(COUNT(B31:F31)=0,"",SUM(B31:F31))</f>
        <v/>
      </c>
      <c r="H31" s="17" t="n"/>
      <c r="I31" s="17" t="n"/>
      <c r="J31" s="17" t="n"/>
      <c r="K31" s="17" t="n"/>
      <c r="L31" s="17" t="n"/>
      <c r="M31" s="25">
        <f>IF(COUNT(H31:L31)=0,"",SUM(H31:L31))</f>
        <v/>
      </c>
      <c r="N31" s="17" t="n"/>
      <c r="O31" s="17" t="n"/>
      <c r="P31" s="17" t="n"/>
      <c r="Q31" s="17" t="n"/>
      <c r="R31" s="17" t="n"/>
      <c r="S31" s="25">
        <f>IF(COUNT(N31:R31)=0,"",SUM(N31:R31))</f>
        <v/>
      </c>
      <c r="T31" s="17" t="n"/>
      <c r="U31" s="17" t="n"/>
      <c r="V31" s="17" t="n"/>
      <c r="W31" s="17" t="n"/>
      <c r="X31" s="17" t="n"/>
      <c r="Y31" s="25">
        <f>IF(COUNT(T31:X31)=0,"",SUM(T31:X31))</f>
        <v/>
      </c>
      <c r="Z31" s="26">
        <f>IF(OR(G31="",Y31=""),"",G31)</f>
        <v/>
      </c>
      <c r="AA31" s="26">
        <f>IF(OR(G31="",Y31=""),"",Y31)</f>
        <v/>
      </c>
    </row>
    <row r="32">
      <c r="A32" s="16" t="n"/>
      <c r="B32" s="17" t="n"/>
      <c r="C32" s="17" t="n"/>
      <c r="D32" s="17" t="n"/>
      <c r="E32" s="17" t="n"/>
      <c r="F32" s="17" t="n"/>
      <c r="G32" s="25">
        <f>IF(COUNT(B32:F32)=0,"",SUM(B32:F32))</f>
        <v/>
      </c>
      <c r="H32" s="17" t="n"/>
      <c r="I32" s="17" t="n"/>
      <c r="J32" s="17" t="n"/>
      <c r="K32" s="17" t="n"/>
      <c r="L32" s="17" t="n"/>
      <c r="M32" s="25">
        <f>IF(COUNT(H32:L32)=0,"",SUM(H32:L32))</f>
        <v/>
      </c>
      <c r="N32" s="17" t="n"/>
      <c r="O32" s="17" t="n"/>
      <c r="P32" s="17" t="n"/>
      <c r="Q32" s="17" t="n"/>
      <c r="R32" s="17" t="n"/>
      <c r="S32" s="25">
        <f>IF(COUNT(N32:R32)=0,"",SUM(N32:R32))</f>
        <v/>
      </c>
      <c r="T32" s="17" t="n"/>
      <c r="U32" s="17" t="n"/>
      <c r="V32" s="17" t="n"/>
      <c r="W32" s="17" t="n"/>
      <c r="X32" s="17" t="n"/>
      <c r="Y32" s="25">
        <f>IF(COUNT(T32:X32)=0,"",SUM(T32:X32))</f>
        <v/>
      </c>
      <c r="Z32" s="26">
        <f>IF(OR(G32="",Y32=""),"",G32)</f>
        <v/>
      </c>
      <c r="AA32" s="26">
        <f>IF(OR(G32="",Y32=""),"",Y32)</f>
        <v/>
      </c>
    </row>
    <row r="33">
      <c r="A33" s="16" t="n"/>
      <c r="B33" s="17" t="n"/>
      <c r="C33" s="17" t="n"/>
      <c r="D33" s="17" t="n"/>
      <c r="E33" s="17" t="n"/>
      <c r="F33" s="17" t="n"/>
      <c r="G33" s="25">
        <f>IF(COUNT(B33:F33)=0,"",SUM(B33:F33))</f>
        <v/>
      </c>
      <c r="H33" s="17" t="n"/>
      <c r="I33" s="17" t="n"/>
      <c r="J33" s="17" t="n"/>
      <c r="K33" s="17" t="n"/>
      <c r="L33" s="17" t="n"/>
      <c r="M33" s="25">
        <f>IF(COUNT(H33:L33)=0,"",SUM(H33:L33))</f>
        <v/>
      </c>
      <c r="N33" s="17" t="n"/>
      <c r="O33" s="17" t="n"/>
      <c r="P33" s="17" t="n"/>
      <c r="Q33" s="17" t="n"/>
      <c r="R33" s="17" t="n"/>
      <c r="S33" s="25">
        <f>IF(COUNT(N33:R33)=0,"",SUM(N33:R33))</f>
        <v/>
      </c>
      <c r="T33" s="17" t="n"/>
      <c r="U33" s="17" t="n"/>
      <c r="V33" s="17" t="n"/>
      <c r="W33" s="17" t="n"/>
      <c r="X33" s="17" t="n"/>
      <c r="Y33" s="25">
        <f>IF(COUNT(T33:X33)=0,"",SUM(T33:X33))</f>
        <v/>
      </c>
      <c r="Z33" s="26">
        <f>IF(OR(G33="",Y33=""),"",G33)</f>
        <v/>
      </c>
      <c r="AA33" s="26">
        <f>IF(OR(G33="",Y33=""),"",Y33)</f>
        <v/>
      </c>
    </row>
    <row r="34">
      <c r="A34" s="16" t="n"/>
      <c r="B34" s="17" t="n"/>
      <c r="C34" s="17" t="n"/>
      <c r="D34" s="17" t="n"/>
      <c r="E34" s="17" t="n"/>
      <c r="F34" s="17" t="n"/>
      <c r="G34" s="25">
        <f>IF(COUNT(B34:F34)=0,"",SUM(B34:F34))</f>
        <v/>
      </c>
      <c r="H34" s="17" t="n"/>
      <c r="I34" s="17" t="n"/>
      <c r="J34" s="17" t="n"/>
      <c r="K34" s="17" t="n"/>
      <c r="L34" s="17" t="n"/>
      <c r="M34" s="25">
        <f>IF(COUNT(H34:L34)=0,"",SUM(H34:L34))</f>
        <v/>
      </c>
      <c r="N34" s="17" t="n"/>
      <c r="O34" s="17" t="n"/>
      <c r="P34" s="17" t="n"/>
      <c r="Q34" s="17" t="n"/>
      <c r="R34" s="17" t="n"/>
      <c r="S34" s="25">
        <f>IF(COUNT(N34:R34)=0,"",SUM(N34:R34))</f>
        <v/>
      </c>
      <c r="T34" s="17" t="n"/>
      <c r="U34" s="17" t="n"/>
      <c r="V34" s="17" t="n"/>
      <c r="W34" s="17" t="n"/>
      <c r="X34" s="17" t="n"/>
      <c r="Y34" s="25">
        <f>IF(COUNT(T34:X34)=0,"",SUM(T34:X34))</f>
        <v/>
      </c>
      <c r="Z34" s="26">
        <f>IF(OR(G34="",Y34=""),"",G34)</f>
        <v/>
      </c>
      <c r="AA34" s="26">
        <f>IF(OR(G34="",Y34=""),"",Y34)</f>
        <v/>
      </c>
    </row>
    <row r="37">
      <c r="A37" s="7" t="inlineStr">
        <is>
          <t>기록지별 평균 추이</t>
        </is>
      </c>
      <c r="B37" s="7" t="inlineStr">
        <is>
          <t>① 테아</t>
        </is>
      </c>
      <c r="C37" s="7" t="inlineStr">
        <is>
          <t>② 세이두</t>
        </is>
      </c>
      <c r="D37" s="7" t="inlineStr">
        <is>
          <t>③ 민</t>
        </is>
      </c>
      <c r="E37" s="7" t="inlineStr">
        <is>
          <t>④ 리마</t>
        </is>
      </c>
      <c r="F37" s="7" t="inlineStr">
        <is>
          <t>④ − ①
(평균 차이)</t>
        </is>
      </c>
      <c r="G37" s="7" t="inlineStr">
        <is>
          <t>N(①)</t>
        </is>
      </c>
      <c r="H37" s="7" t="inlineStr">
        <is>
          <t>N(④)</t>
        </is>
      </c>
    </row>
    <row r="38">
      <c r="A38" s="18" t="inlineStr">
        <is>
          <t>문제 이해</t>
        </is>
      </c>
      <c r="B38" s="19">
        <f>IF(COUNT($B$5:$B$34)=0,"",AVERAGE($B$5:$B$34))</f>
        <v/>
      </c>
      <c r="C38" s="19">
        <f>IF(COUNT($H$5:$H$34)=0,"",AVERAGE($H$5:$H$34))</f>
        <v/>
      </c>
      <c r="D38" s="19">
        <f>IF(COUNT($N$5:$N$34)=0,"",AVERAGE($N$5:$N$34))</f>
        <v/>
      </c>
      <c r="E38" s="19">
        <f>IF(COUNT($T$5:$T$34)=0,"",AVERAGE($T$5:$T$34))</f>
        <v/>
      </c>
      <c r="F38" s="27">
        <f>IF(OR(B38="",E38=""),"",E38-B38)</f>
        <v/>
      </c>
      <c r="G38" s="17">
        <f>COUNT($B$5:$B$34)</f>
        <v/>
      </c>
      <c r="H38" s="17">
        <f>COUNT($T$5:$T$34)</f>
        <v/>
      </c>
    </row>
    <row r="39">
      <c r="A39" s="18" t="inlineStr">
        <is>
          <t>원인·영향 연결</t>
        </is>
      </c>
      <c r="B39" s="19">
        <f>IF(COUNT($C$5:$C$34)=0,"",AVERAGE($C$5:$C$34))</f>
        <v/>
      </c>
      <c r="C39" s="19">
        <f>IF(COUNT($I$5:$I$34)=0,"",AVERAGE($I$5:$I$34))</f>
        <v/>
      </c>
      <c r="D39" s="19">
        <f>IF(COUNT($O$5:$O$34)=0,"",AVERAGE($O$5:$O$34))</f>
        <v/>
      </c>
      <c r="E39" s="19">
        <f>IF(COUNT($U$5:$U$34)=0,"",AVERAGE($U$5:$U$34))</f>
        <v/>
      </c>
      <c r="F39" s="27">
        <f>IF(OR(B39="",E39=""),"",E39-B39)</f>
        <v/>
      </c>
      <c r="G39" s="17">
        <f>COUNT($C$5:$C$34)</f>
        <v/>
      </c>
      <c r="H39" s="17">
        <f>COUNT($U$5:$U$34)</f>
        <v/>
      </c>
    </row>
    <row r="40">
      <c r="A40" s="18" t="inlineStr">
        <is>
          <t>관점 공감</t>
        </is>
      </c>
      <c r="B40" s="19">
        <f>IF(COUNT($D$5:$D$34)=0,"",AVERAGE($D$5:$D$34))</f>
        <v/>
      </c>
      <c r="C40" s="19">
        <f>IF(COUNT($J$5:$J$34)=0,"",AVERAGE($J$5:$J$34))</f>
        <v/>
      </c>
      <c r="D40" s="19">
        <f>IF(COUNT($P$5:$P$34)=0,"",AVERAGE($P$5:$P$34))</f>
        <v/>
      </c>
      <c r="E40" s="19">
        <f>IF(COUNT($V$5:$V$34)=0,"",AVERAGE($V$5:$V$34))</f>
        <v/>
      </c>
      <c r="F40" s="27">
        <f>IF(OR(B40="",E40=""),"",E40-B40)</f>
        <v/>
      </c>
      <c r="G40" s="17">
        <f>COUNT($D$5:$D$34)</f>
        <v/>
      </c>
      <c r="H40" s="17">
        <f>COUNT($V$5:$V$34)</f>
        <v/>
      </c>
    </row>
    <row r="41">
      <c r="A41" s="18" t="inlineStr">
        <is>
          <t>해결 주체 이해</t>
        </is>
      </c>
      <c r="B41" s="19">
        <f>IF(COUNT($E$5:$E$34)=0,"",AVERAGE($E$5:$E$34))</f>
        <v/>
      </c>
      <c r="C41" s="19">
        <f>IF(COUNT($K$5:$K$34)=0,"",AVERAGE($K$5:$K$34))</f>
        <v/>
      </c>
      <c r="D41" s="19">
        <f>IF(COUNT($Q$5:$Q$34)=0,"",AVERAGE($Q$5:$Q$34))</f>
        <v/>
      </c>
      <c r="E41" s="19">
        <f>IF(COUNT($W$5:$W$34)=0,"",AVERAGE($W$5:$W$34))</f>
        <v/>
      </c>
      <c r="F41" s="27">
        <f>IF(OR(B41="",E41=""),"",E41-B41)</f>
        <v/>
      </c>
      <c r="G41" s="17">
        <f>COUNT($E$5:$E$34)</f>
        <v/>
      </c>
      <c r="H41" s="17">
        <f>COUNT($W$5:$W$34)</f>
        <v/>
      </c>
    </row>
    <row r="42">
      <c r="A42" s="18" t="inlineStr">
        <is>
          <t>해결 방안 타당성</t>
        </is>
      </c>
      <c r="B42" s="19">
        <f>IF(COUNT($F$5:$F$34)=0,"",AVERAGE($F$5:$F$34))</f>
        <v/>
      </c>
      <c r="C42" s="19">
        <f>IF(COUNT($L$5:$L$34)=0,"",AVERAGE($L$5:$L$34))</f>
        <v/>
      </c>
      <c r="D42" s="19">
        <f>IF(COUNT($R$5:$R$34)=0,"",AVERAGE($R$5:$R$34))</f>
        <v/>
      </c>
      <c r="E42" s="19">
        <f>IF(COUNT($X$5:$X$34)=0,"",AVERAGE($X$5:$X$34))</f>
        <v/>
      </c>
      <c r="F42" s="27">
        <f>IF(OR(B42="",E42=""),"",E42-B42)</f>
        <v/>
      </c>
      <c r="G42" s="17">
        <f>COUNT($F$5:$F$34)</f>
        <v/>
      </c>
      <c r="H42" s="17">
        <f>COUNT($X$5:$X$34)</f>
        <v/>
      </c>
    </row>
    <row r="43">
      <c r="A43" s="18" t="inlineStr">
        <is>
          <t>합계(20점)</t>
        </is>
      </c>
      <c r="B43" s="19">
        <f>IF(COUNT($G$5:$G$34)=0,"",AVERAGE($G$5:$G$34))</f>
        <v/>
      </c>
      <c r="C43" s="19">
        <f>IF(COUNT($M$5:$M$34)=0,"",AVERAGE($M$5:$M$34))</f>
        <v/>
      </c>
      <c r="D43" s="19">
        <f>IF(COUNT($S$5:$S$34)=0,"",AVERAGE($S$5:$S$34))</f>
        <v/>
      </c>
      <c r="E43" s="19">
        <f>IF(COUNT($Y$5:$Y$34)=0,"",AVERAGE($Y$5:$Y$34))</f>
        <v/>
      </c>
      <c r="F43" s="27">
        <f>IF(OR(B43="",E43=""),"",E43-B43)</f>
        <v/>
      </c>
      <c r="G43" s="17">
        <f>COUNT($G$5:$G$34)</f>
        <v/>
      </c>
      <c r="H43" s="17">
        <f>COUNT($Y$5:$Y$34)</f>
        <v/>
      </c>
    </row>
    <row r="45">
      <c r="A45" s="18" t="inlineStr">
        <is>
          <t>합계 ① vs ④ 대응 t 검정 p (짝 N)</t>
        </is>
      </c>
      <c r="B45" s="20">
        <f>IFERROR(_xlfn.T.TEST($Z$5:$Z$34,$AA$5:$AA$34,2,1),"")</f>
        <v/>
      </c>
      <c r="C45" s="10" t="inlineStr">
        <is>
          <t>Cohen's d</t>
        </is>
      </c>
      <c r="D45" s="19">
        <f>IFERROR((AVERAGE($AA$5:$AA$34)-AVERAGE($Z$5:$Z$34))/SQRT((_xlfn.STDEV.S($Z$5:$Z$34)^2+_xlfn.STDEV.S($AA$5:$AA$34)^2)/2),"")</f>
        <v/>
      </c>
      <c r="E45" s="10" t="inlineStr">
        <is>
          <t>짝 N</t>
        </is>
      </c>
      <c r="F45" s="17">
        <f>COUNT($Z$5:$Z$34)</f>
        <v/>
      </c>
    </row>
    <row r="46">
      <c r="A46" s="21" t="inlineStr">
        <is>
          <t>※ 위 평균 표는 기록지마다 낸 학생 전체의 평균이고(N 열 참고), ① vs ④ 검정은 ①과 ④를 모두 낸 학생(짝)만으로 계산합니다.</t>
        </is>
      </c>
    </row>
  </sheetData>
  <mergeCells count="6">
    <mergeCell ref="B3:G3"/>
    <mergeCell ref="A3:A4"/>
    <mergeCell ref="T3:Y3"/>
    <mergeCell ref="N3:S3"/>
    <mergeCell ref="H3:M3"/>
    <mergeCell ref="Z3:AA3"/>
  </mergeCells>
  <dataValidations count="1">
    <dataValidation sqref="B5:F5 B6:F6 B7:F7 B8:F8 B9:F9 B10:F10 B11:F11 B12:F12 B13:F13 B14:F14 B15:F15 B16:F16 B17:F17 B18:F18 B19:F19 B20:F20 B21:F21 B22:F22 B23:F23 B24:F24 B25:F25 B26:F26 B27:F27 B28:F28 B29:F29 B30:F30 B31:F31 B32:F32 B33:F33 B34:F34 H5:L5 H6:L6 H7:L7 H8:L8 H9:L9 H10:L10 H11:L11 H12:L12 H13:L13 H14:L14 H15:L15 H16:L16 H17:L17 H18:L18 H19:L19 H20:L20 H21:L21 H22:L22 H23:L23 H24:L24 H25:L25 H26:L26 H27:L27 H28:L28 H29:L29 H30:L30 H31:L31 H32:L32 H33:L33 H34:L34 N5:R5 N6:R6 N7:R7 N8:R8 N9:R9 N10:R10 N11:R11 N12:R12 N13:R13 N14:R14 N15:R15 N16:R16 N17:R17 N18:R18 N19:R19 N20:R20 N21:R21 N22:R22 N23:R23 N24:R24 N25:R25 N26:R26 N27:R27 N28:R28 N29:R29 N30:R30 N31:R31 N32:R32 N33:R33 N34:R34 T5:X5 T6:X6 T7:X7 T8:X8 T9:X9 T10:X10 T11:X11 T12:X12 T13:X13 T14:X14 T15:X15 T16:X16 T17:X17 T18:X18 T19:X19 T20:X20 T21:X21 T22:X22 T23:X23 T24:X24 T25:X25 T26:X26 T27:X27 T28:X28 T29:X29 T30:X30 T31:X31 T32:X32 T33:X33 T34:X34" showDropDown="0" showInputMessage="0" showErrorMessage="1" allowBlank="1" errorTitle="입력 오류" error="1~4 사이의 숫자를 입력하세요." type="whole" operator="between">
      <formula1>1</formula1>
      <formula2>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7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8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8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9" customWidth="1" min="32" max="32"/>
  </cols>
  <sheetData>
    <row r="1">
      <c r="A1" s="1" t="inlineStr">
        <is>
          <t>챗봇로그 — 학생 질문 유형 수 (E-GPT 대화 내역, 질적_코딩표.md 5절 기준)</t>
        </is>
      </c>
    </row>
    <row r="2">
      <c r="A2" s="6" t="inlineStr">
        <is>
          <t>▼ 회색 3줄은 예시예요. 지우고 쓰세요. 별칭별로 각 인물과의 대화에서 학생 질문을 F(사실)·E(마음·이유)·S(해결)·O(기타)로 센 개수를 적어요. 합계와 비율은 자동이에요.</t>
        </is>
      </c>
    </row>
    <row r="3">
      <c r="A3" s="7" t="inlineStr">
        <is>
          <t>별칭</t>
        </is>
      </c>
      <c r="B3" s="7" t="inlineStr">
        <is>
          <t>대화 ① 테아</t>
        </is>
      </c>
      <c r="C3" s="22" t="n"/>
      <c r="D3" s="22" t="n"/>
      <c r="E3" s="22" t="n"/>
      <c r="F3" s="22" t="n"/>
      <c r="G3" s="23" t="n"/>
      <c r="H3" s="7" t="inlineStr">
        <is>
          <t>대화 ② 세이두</t>
        </is>
      </c>
      <c r="I3" s="22" t="n"/>
      <c r="J3" s="22" t="n"/>
      <c r="K3" s="22" t="n"/>
      <c r="L3" s="22" t="n"/>
      <c r="M3" s="23" t="n"/>
      <c r="N3" s="7" t="inlineStr">
        <is>
          <t>대화 ③ 민</t>
        </is>
      </c>
      <c r="O3" s="22" t="n"/>
      <c r="P3" s="22" t="n"/>
      <c r="Q3" s="22" t="n"/>
      <c r="R3" s="22" t="n"/>
      <c r="S3" s="23" t="n"/>
      <c r="T3" s="7" t="inlineStr">
        <is>
          <t>대화 ④ 리마</t>
        </is>
      </c>
      <c r="U3" s="22" t="n"/>
      <c r="V3" s="22" t="n"/>
      <c r="W3" s="22" t="n"/>
      <c r="X3" s="22" t="n"/>
      <c r="Y3" s="23" t="n"/>
      <c r="Z3" s="7" t="inlineStr">
        <is>
          <t>대화 ⑤ 수현</t>
        </is>
      </c>
      <c r="AA3" s="22" t="n"/>
      <c r="AB3" s="22" t="n"/>
      <c r="AC3" s="22" t="n"/>
      <c r="AD3" s="22" t="n"/>
      <c r="AE3" s="23" t="n"/>
      <c r="AF3" s="7" t="inlineStr">
        <is>
          <t>①→④ 변화</t>
        </is>
      </c>
    </row>
    <row r="4" ht="32" customHeight="1">
      <c r="A4" s="24" t="n"/>
      <c r="B4" s="10" t="inlineStr">
        <is>
          <t>F 사실</t>
        </is>
      </c>
      <c r="C4" s="10" t="inlineStr">
        <is>
          <t>E 마음·이유</t>
        </is>
      </c>
      <c r="D4" s="10" t="inlineStr">
        <is>
          <t>S 해결</t>
        </is>
      </c>
      <c r="E4" s="10" t="inlineStr">
        <is>
          <t>O 기타</t>
        </is>
      </c>
      <c r="F4" s="11" t="inlineStr">
        <is>
          <t>질문
합계</t>
        </is>
      </c>
      <c r="G4" s="11" t="inlineStr">
        <is>
          <t>E+S
비율</t>
        </is>
      </c>
      <c r="H4" s="9" t="inlineStr">
        <is>
          <t>F 사실</t>
        </is>
      </c>
      <c r="I4" s="9" t="inlineStr">
        <is>
          <t>E 마음·이유</t>
        </is>
      </c>
      <c r="J4" s="9" t="inlineStr">
        <is>
          <t>S 해결</t>
        </is>
      </c>
      <c r="K4" s="9" t="inlineStr">
        <is>
          <t>O 기타</t>
        </is>
      </c>
      <c r="L4" s="11" t="inlineStr">
        <is>
          <t>질문
합계</t>
        </is>
      </c>
      <c r="M4" s="11" t="inlineStr">
        <is>
          <t>E+S
비율</t>
        </is>
      </c>
      <c r="N4" s="10" t="inlineStr">
        <is>
          <t>F 사실</t>
        </is>
      </c>
      <c r="O4" s="10" t="inlineStr">
        <is>
          <t>E 마음·이유</t>
        </is>
      </c>
      <c r="P4" s="10" t="inlineStr">
        <is>
          <t>S 해결</t>
        </is>
      </c>
      <c r="Q4" s="10" t="inlineStr">
        <is>
          <t>O 기타</t>
        </is>
      </c>
      <c r="R4" s="11" t="inlineStr">
        <is>
          <t>질문
합계</t>
        </is>
      </c>
      <c r="S4" s="11" t="inlineStr">
        <is>
          <t>E+S
비율</t>
        </is>
      </c>
      <c r="T4" s="9" t="inlineStr">
        <is>
          <t>F 사실</t>
        </is>
      </c>
      <c r="U4" s="9" t="inlineStr">
        <is>
          <t>E 마음·이유</t>
        </is>
      </c>
      <c r="V4" s="9" t="inlineStr">
        <is>
          <t>S 해결</t>
        </is>
      </c>
      <c r="W4" s="9" t="inlineStr">
        <is>
          <t>O 기타</t>
        </is>
      </c>
      <c r="X4" s="11" t="inlineStr">
        <is>
          <t>질문
합계</t>
        </is>
      </c>
      <c r="Y4" s="11" t="inlineStr">
        <is>
          <t>E+S
비율</t>
        </is>
      </c>
      <c r="Z4" s="10" t="inlineStr">
        <is>
          <t>F 사실</t>
        </is>
      </c>
      <c r="AA4" s="10" t="inlineStr">
        <is>
          <t>E 마음·이유</t>
        </is>
      </c>
      <c r="AB4" s="10" t="inlineStr">
        <is>
          <t>S 해결</t>
        </is>
      </c>
      <c r="AC4" s="10" t="inlineStr">
        <is>
          <t>O 기타</t>
        </is>
      </c>
      <c r="AD4" s="11" t="inlineStr">
        <is>
          <t>질문
합계</t>
        </is>
      </c>
      <c r="AE4" s="11" t="inlineStr">
        <is>
          <t>E+S
비율</t>
        </is>
      </c>
      <c r="AF4" s="11" t="inlineStr">
        <is>
          <t>E+S 비율
(④−①)</t>
        </is>
      </c>
    </row>
    <row r="5">
      <c r="A5" s="12" t="inlineStr">
        <is>
          <t>1모둠 바다</t>
        </is>
      </c>
      <c r="B5" s="13" t="n">
        <v>4</v>
      </c>
      <c r="C5" s="13" t="n">
        <v>1</v>
      </c>
      <c r="D5" s="13" t="n">
        <v>0</v>
      </c>
      <c r="E5" s="13" t="n">
        <v>2</v>
      </c>
      <c r="F5" s="25">
        <f>IF(COUNT(B5:E5)=0,"",SUM(B5:E5))</f>
        <v/>
      </c>
      <c r="G5" s="28">
        <f>IF(OR(F5="",F5=0),"",(C5+D5)/F5)</f>
        <v/>
      </c>
      <c r="H5" s="13" t="n">
        <v>3</v>
      </c>
      <c r="I5" s="13" t="n">
        <v>2</v>
      </c>
      <c r="J5" s="13" t="n">
        <v>1</v>
      </c>
      <c r="K5" s="13" t="n">
        <v>1</v>
      </c>
      <c r="L5" s="25">
        <f>IF(COUNT(H5:K5)=0,"",SUM(H5:K5))</f>
        <v/>
      </c>
      <c r="M5" s="28">
        <f>IF(OR(L5="",L5=0),"",(I5+J5)/L5)</f>
        <v/>
      </c>
      <c r="N5" s="13" t="n">
        <v>2</v>
      </c>
      <c r="O5" s="13" t="n">
        <v>3</v>
      </c>
      <c r="P5" s="13" t="n">
        <v>1</v>
      </c>
      <c r="Q5" s="13" t="n">
        <v>1</v>
      </c>
      <c r="R5" s="25">
        <f>IF(COUNT(N5:Q5)=0,"",SUM(N5:Q5))</f>
        <v/>
      </c>
      <c r="S5" s="28">
        <f>IF(OR(R5="",R5=0),"",(O5+P5)/R5)</f>
        <v/>
      </c>
      <c r="T5" s="13" t="n">
        <v>2</v>
      </c>
      <c r="U5" s="13" t="n">
        <v>3</v>
      </c>
      <c r="V5" s="13" t="n">
        <v>2</v>
      </c>
      <c r="W5" s="13" t="n">
        <v>1</v>
      </c>
      <c r="X5" s="25">
        <f>IF(COUNT(T5:W5)=0,"",SUM(T5:W5))</f>
        <v/>
      </c>
      <c r="Y5" s="28">
        <f>IF(OR(X5="",X5=0),"",(U5+V5)/X5)</f>
        <v/>
      </c>
      <c r="Z5" s="13" t="n">
        <v>1</v>
      </c>
      <c r="AA5" s="13" t="n">
        <v>2</v>
      </c>
      <c r="AB5" s="13" t="n">
        <v>4</v>
      </c>
      <c r="AC5" s="13" t="n">
        <v>1</v>
      </c>
      <c r="AD5" s="25">
        <f>IF(COUNT(Z5:AC5)=0,"",SUM(Z5:AC5))</f>
        <v/>
      </c>
      <c r="AE5" s="28">
        <f>IF(OR(AD5="",AD5=0),"",(AA5+AB5)/AD5)</f>
        <v/>
      </c>
      <c r="AF5" s="29">
        <f>IF(OR(G5="",Y5=""),"",Y5-G5)</f>
        <v/>
      </c>
    </row>
    <row r="6">
      <c r="A6" s="12" t="inlineStr">
        <is>
          <t>1모둠 하늘</t>
        </is>
      </c>
      <c r="B6" s="13" t="n">
        <v>5</v>
      </c>
      <c r="C6" s="13" t="n">
        <v>0</v>
      </c>
      <c r="D6" s="13" t="n">
        <v>0</v>
      </c>
      <c r="E6" s="13" t="n">
        <v>2</v>
      </c>
      <c r="F6" s="25">
        <f>IF(COUNT(B6:E6)=0,"",SUM(B6:E6))</f>
        <v/>
      </c>
      <c r="G6" s="28">
        <f>IF(OR(F6="",F6=0),"",(C6+D6)/F6)</f>
        <v/>
      </c>
      <c r="H6" s="13" t="n">
        <v>4</v>
      </c>
      <c r="I6" s="13" t="n">
        <v>1</v>
      </c>
      <c r="J6" s="13" t="n">
        <v>0</v>
      </c>
      <c r="K6" s="13" t="n">
        <v>2</v>
      </c>
      <c r="L6" s="25">
        <f>IF(COUNT(H6:K6)=0,"",SUM(H6:K6))</f>
        <v/>
      </c>
      <c r="M6" s="28">
        <f>IF(OR(L6="",L6=0),"",(I6+J6)/L6)</f>
        <v/>
      </c>
      <c r="N6" s="13" t="n">
        <v>3</v>
      </c>
      <c r="O6" s="13" t="n">
        <v>2</v>
      </c>
      <c r="P6" s="13" t="n">
        <v>1</v>
      </c>
      <c r="Q6" s="13" t="n">
        <v>1</v>
      </c>
      <c r="R6" s="25">
        <f>IF(COUNT(N6:Q6)=0,"",SUM(N6:Q6))</f>
        <v/>
      </c>
      <c r="S6" s="28">
        <f>IF(OR(R6="",R6=0),"",(O6+P6)/R6)</f>
        <v/>
      </c>
      <c r="T6" s="13" t="n">
        <v>3</v>
      </c>
      <c r="U6" s="13" t="n">
        <v>2</v>
      </c>
      <c r="V6" s="13" t="n">
        <v>1</v>
      </c>
      <c r="W6" s="13" t="n">
        <v>1</v>
      </c>
      <c r="X6" s="25">
        <f>IF(COUNT(T6:W6)=0,"",SUM(T6:W6))</f>
        <v/>
      </c>
      <c r="Y6" s="28">
        <f>IF(OR(X6="",X6=0),"",(U6+V6)/X6)</f>
        <v/>
      </c>
      <c r="Z6" s="13" t="n">
        <v>2</v>
      </c>
      <c r="AA6" s="13" t="n">
        <v>1</v>
      </c>
      <c r="AB6" s="13" t="n">
        <v>3</v>
      </c>
      <c r="AC6" s="13" t="n">
        <v>1</v>
      </c>
      <c r="AD6" s="25">
        <f>IF(COUNT(Z6:AC6)=0,"",SUM(Z6:AC6))</f>
        <v/>
      </c>
      <c r="AE6" s="28">
        <f>IF(OR(AD6="",AD6=0),"",(AA6+AB6)/AD6)</f>
        <v/>
      </c>
      <c r="AF6" s="29">
        <f>IF(OR(G6="",Y6=""),"",Y6-G6)</f>
        <v/>
      </c>
    </row>
    <row r="7">
      <c r="A7" s="12" t="inlineStr">
        <is>
          <t>2모둠 구름</t>
        </is>
      </c>
      <c r="B7" s="13" t="n">
        <v>3</v>
      </c>
      <c r="C7" s="13" t="n">
        <v>2</v>
      </c>
      <c r="D7" s="13" t="n">
        <v>1</v>
      </c>
      <c r="E7" s="13" t="n">
        <v>1</v>
      </c>
      <c r="F7" s="25">
        <f>IF(COUNT(B7:E7)=0,"",SUM(B7:E7))</f>
        <v/>
      </c>
      <c r="G7" s="28">
        <f>IF(OR(F7="",F7=0),"",(C7+D7)/F7)</f>
        <v/>
      </c>
      <c r="H7" s="13" t="n">
        <v>2</v>
      </c>
      <c r="I7" s="13" t="n">
        <v>2</v>
      </c>
      <c r="J7" s="13" t="n">
        <v>2</v>
      </c>
      <c r="K7" s="13" t="n">
        <v>1</v>
      </c>
      <c r="L7" s="25">
        <f>IF(COUNT(H7:K7)=0,"",SUM(H7:K7))</f>
        <v/>
      </c>
      <c r="M7" s="28">
        <f>IF(OR(L7="",L7=0),"",(I7+J7)/L7)</f>
        <v/>
      </c>
      <c r="N7" s="13" t="n">
        <v>2</v>
      </c>
      <c r="O7" s="13" t="n">
        <v>3</v>
      </c>
      <c r="P7" s="13" t="n">
        <v>2</v>
      </c>
      <c r="Q7" s="13" t="n">
        <v>0</v>
      </c>
      <c r="R7" s="25">
        <f>IF(COUNT(N7:Q7)=0,"",SUM(N7:Q7))</f>
        <v/>
      </c>
      <c r="S7" s="28">
        <f>IF(OR(R7="",R7=0),"",(O7+P7)/R7)</f>
        <v/>
      </c>
      <c r="T7" s="13" t="n">
        <v>1</v>
      </c>
      <c r="U7" s="13" t="n">
        <v>3</v>
      </c>
      <c r="V7" s="13" t="n">
        <v>3</v>
      </c>
      <c r="W7" s="13" t="n">
        <v>1</v>
      </c>
      <c r="X7" s="25">
        <f>IF(COUNT(T7:W7)=0,"",SUM(T7:W7))</f>
        <v/>
      </c>
      <c r="Y7" s="28">
        <f>IF(OR(X7="",X7=0),"",(U7+V7)/X7)</f>
        <v/>
      </c>
      <c r="Z7" s="13" t="n">
        <v>1</v>
      </c>
      <c r="AA7" s="13" t="n">
        <v>2</v>
      </c>
      <c r="AB7" s="13" t="n">
        <v>4</v>
      </c>
      <c r="AC7" s="13" t="n">
        <v>0</v>
      </c>
      <c r="AD7" s="25">
        <f>IF(COUNT(Z7:AC7)=0,"",SUM(Z7:AC7))</f>
        <v/>
      </c>
      <c r="AE7" s="28">
        <f>IF(OR(AD7="",AD7=0),"",(AA7+AB7)/AD7)</f>
        <v/>
      </c>
      <c r="AF7" s="29">
        <f>IF(OR(G7="",Y7=""),"",Y7-G7)</f>
        <v/>
      </c>
    </row>
    <row r="8">
      <c r="A8" s="16" t="n"/>
      <c r="B8" s="17" t="n"/>
      <c r="C8" s="17" t="n"/>
      <c r="D8" s="17" t="n"/>
      <c r="E8" s="17" t="n"/>
      <c r="F8" s="25">
        <f>IF(COUNT(B8:E8)=0,"",SUM(B8:E8))</f>
        <v/>
      </c>
      <c r="G8" s="28">
        <f>IF(OR(F8="",F8=0),"",(C8+D8)/F8)</f>
        <v/>
      </c>
      <c r="H8" s="17" t="n"/>
      <c r="I8" s="17" t="n"/>
      <c r="J8" s="17" t="n"/>
      <c r="K8" s="17" t="n"/>
      <c r="L8" s="25">
        <f>IF(COUNT(H8:K8)=0,"",SUM(H8:K8))</f>
        <v/>
      </c>
      <c r="M8" s="28">
        <f>IF(OR(L8="",L8=0),"",(I8+J8)/L8)</f>
        <v/>
      </c>
      <c r="N8" s="17" t="n"/>
      <c r="O8" s="17" t="n"/>
      <c r="P8" s="17" t="n"/>
      <c r="Q8" s="17" t="n"/>
      <c r="R8" s="25">
        <f>IF(COUNT(N8:Q8)=0,"",SUM(N8:Q8))</f>
        <v/>
      </c>
      <c r="S8" s="28">
        <f>IF(OR(R8="",R8=0),"",(O8+P8)/R8)</f>
        <v/>
      </c>
      <c r="T8" s="17" t="n"/>
      <c r="U8" s="17" t="n"/>
      <c r="V8" s="17" t="n"/>
      <c r="W8" s="17" t="n"/>
      <c r="X8" s="25">
        <f>IF(COUNT(T8:W8)=0,"",SUM(T8:W8))</f>
        <v/>
      </c>
      <c r="Y8" s="28">
        <f>IF(OR(X8="",X8=0),"",(U8+V8)/X8)</f>
        <v/>
      </c>
      <c r="Z8" s="17" t="n"/>
      <c r="AA8" s="17" t="n"/>
      <c r="AB8" s="17" t="n"/>
      <c r="AC8" s="17" t="n"/>
      <c r="AD8" s="25">
        <f>IF(COUNT(Z8:AC8)=0,"",SUM(Z8:AC8))</f>
        <v/>
      </c>
      <c r="AE8" s="28">
        <f>IF(OR(AD8="",AD8=0),"",(AA8+AB8)/AD8)</f>
        <v/>
      </c>
      <c r="AF8" s="29">
        <f>IF(OR(G8="",Y8=""),"",Y8-G8)</f>
        <v/>
      </c>
    </row>
    <row r="9">
      <c r="A9" s="16" t="n"/>
      <c r="B9" s="17" t="n"/>
      <c r="C9" s="17" t="n"/>
      <c r="D9" s="17" t="n"/>
      <c r="E9" s="17" t="n"/>
      <c r="F9" s="25">
        <f>IF(COUNT(B9:E9)=0,"",SUM(B9:E9))</f>
        <v/>
      </c>
      <c r="G9" s="28">
        <f>IF(OR(F9="",F9=0),"",(C9+D9)/F9)</f>
        <v/>
      </c>
      <c r="H9" s="17" t="n"/>
      <c r="I9" s="17" t="n"/>
      <c r="J9" s="17" t="n"/>
      <c r="K9" s="17" t="n"/>
      <c r="L9" s="25">
        <f>IF(COUNT(H9:K9)=0,"",SUM(H9:K9))</f>
        <v/>
      </c>
      <c r="M9" s="28">
        <f>IF(OR(L9="",L9=0),"",(I9+J9)/L9)</f>
        <v/>
      </c>
      <c r="N9" s="17" t="n"/>
      <c r="O9" s="17" t="n"/>
      <c r="P9" s="17" t="n"/>
      <c r="Q9" s="17" t="n"/>
      <c r="R9" s="25">
        <f>IF(COUNT(N9:Q9)=0,"",SUM(N9:Q9))</f>
        <v/>
      </c>
      <c r="S9" s="28">
        <f>IF(OR(R9="",R9=0),"",(O9+P9)/R9)</f>
        <v/>
      </c>
      <c r="T9" s="17" t="n"/>
      <c r="U9" s="17" t="n"/>
      <c r="V9" s="17" t="n"/>
      <c r="W9" s="17" t="n"/>
      <c r="X9" s="25">
        <f>IF(COUNT(T9:W9)=0,"",SUM(T9:W9))</f>
        <v/>
      </c>
      <c r="Y9" s="28">
        <f>IF(OR(X9="",X9=0),"",(U9+V9)/X9)</f>
        <v/>
      </c>
      <c r="Z9" s="17" t="n"/>
      <c r="AA9" s="17" t="n"/>
      <c r="AB9" s="17" t="n"/>
      <c r="AC9" s="17" t="n"/>
      <c r="AD9" s="25">
        <f>IF(COUNT(Z9:AC9)=0,"",SUM(Z9:AC9))</f>
        <v/>
      </c>
      <c r="AE9" s="28">
        <f>IF(OR(AD9="",AD9=0),"",(AA9+AB9)/AD9)</f>
        <v/>
      </c>
      <c r="AF9" s="29">
        <f>IF(OR(G9="",Y9=""),"",Y9-G9)</f>
        <v/>
      </c>
    </row>
    <row r="10">
      <c r="A10" s="16" t="n"/>
      <c r="B10" s="17" t="n"/>
      <c r="C10" s="17" t="n"/>
      <c r="D10" s="17" t="n"/>
      <c r="E10" s="17" t="n"/>
      <c r="F10" s="25">
        <f>IF(COUNT(B10:E10)=0,"",SUM(B10:E10))</f>
        <v/>
      </c>
      <c r="G10" s="28">
        <f>IF(OR(F10="",F10=0),"",(C10+D10)/F10)</f>
        <v/>
      </c>
      <c r="H10" s="17" t="n"/>
      <c r="I10" s="17" t="n"/>
      <c r="J10" s="17" t="n"/>
      <c r="K10" s="17" t="n"/>
      <c r="L10" s="25">
        <f>IF(COUNT(H10:K10)=0,"",SUM(H10:K10))</f>
        <v/>
      </c>
      <c r="M10" s="28">
        <f>IF(OR(L10="",L10=0),"",(I10+J10)/L10)</f>
        <v/>
      </c>
      <c r="N10" s="17" t="n"/>
      <c r="O10" s="17" t="n"/>
      <c r="P10" s="17" t="n"/>
      <c r="Q10" s="17" t="n"/>
      <c r="R10" s="25">
        <f>IF(COUNT(N10:Q10)=0,"",SUM(N10:Q10))</f>
        <v/>
      </c>
      <c r="S10" s="28">
        <f>IF(OR(R10="",R10=0),"",(O10+P10)/R10)</f>
        <v/>
      </c>
      <c r="T10" s="17" t="n"/>
      <c r="U10" s="17" t="n"/>
      <c r="V10" s="17" t="n"/>
      <c r="W10" s="17" t="n"/>
      <c r="X10" s="25">
        <f>IF(COUNT(T10:W10)=0,"",SUM(T10:W10))</f>
        <v/>
      </c>
      <c r="Y10" s="28">
        <f>IF(OR(X10="",X10=0),"",(U10+V10)/X10)</f>
        <v/>
      </c>
      <c r="Z10" s="17" t="n"/>
      <c r="AA10" s="17" t="n"/>
      <c r="AB10" s="17" t="n"/>
      <c r="AC10" s="17" t="n"/>
      <c r="AD10" s="25">
        <f>IF(COUNT(Z10:AC10)=0,"",SUM(Z10:AC10))</f>
        <v/>
      </c>
      <c r="AE10" s="28">
        <f>IF(OR(AD10="",AD10=0),"",(AA10+AB10)/AD10)</f>
        <v/>
      </c>
      <c r="AF10" s="29">
        <f>IF(OR(G10="",Y10=""),"",Y10-G10)</f>
        <v/>
      </c>
    </row>
    <row r="11">
      <c r="A11" s="16" t="n"/>
      <c r="B11" s="17" t="n"/>
      <c r="C11" s="17" t="n"/>
      <c r="D11" s="17" t="n"/>
      <c r="E11" s="17" t="n"/>
      <c r="F11" s="25">
        <f>IF(COUNT(B11:E11)=0,"",SUM(B11:E11))</f>
        <v/>
      </c>
      <c r="G11" s="28">
        <f>IF(OR(F11="",F11=0),"",(C11+D11)/F11)</f>
        <v/>
      </c>
      <c r="H11" s="17" t="n"/>
      <c r="I11" s="17" t="n"/>
      <c r="J11" s="17" t="n"/>
      <c r="K11" s="17" t="n"/>
      <c r="L11" s="25">
        <f>IF(COUNT(H11:K11)=0,"",SUM(H11:K11))</f>
        <v/>
      </c>
      <c r="M11" s="28">
        <f>IF(OR(L11="",L11=0),"",(I11+J11)/L11)</f>
        <v/>
      </c>
      <c r="N11" s="17" t="n"/>
      <c r="O11" s="17" t="n"/>
      <c r="P11" s="17" t="n"/>
      <c r="Q11" s="17" t="n"/>
      <c r="R11" s="25">
        <f>IF(COUNT(N11:Q11)=0,"",SUM(N11:Q11))</f>
        <v/>
      </c>
      <c r="S11" s="28">
        <f>IF(OR(R11="",R11=0),"",(O11+P11)/R11)</f>
        <v/>
      </c>
      <c r="T11" s="17" t="n"/>
      <c r="U11" s="17" t="n"/>
      <c r="V11" s="17" t="n"/>
      <c r="W11" s="17" t="n"/>
      <c r="X11" s="25">
        <f>IF(COUNT(T11:W11)=0,"",SUM(T11:W11))</f>
        <v/>
      </c>
      <c r="Y11" s="28">
        <f>IF(OR(X11="",X11=0),"",(U11+V11)/X11)</f>
        <v/>
      </c>
      <c r="Z11" s="17" t="n"/>
      <c r="AA11" s="17" t="n"/>
      <c r="AB11" s="17" t="n"/>
      <c r="AC11" s="17" t="n"/>
      <c r="AD11" s="25">
        <f>IF(COUNT(Z11:AC11)=0,"",SUM(Z11:AC11))</f>
        <v/>
      </c>
      <c r="AE11" s="28">
        <f>IF(OR(AD11="",AD11=0),"",(AA11+AB11)/AD11)</f>
        <v/>
      </c>
      <c r="AF11" s="29">
        <f>IF(OR(G11="",Y11=""),"",Y11-G11)</f>
        <v/>
      </c>
    </row>
    <row r="12">
      <c r="A12" s="16" t="n"/>
      <c r="B12" s="17" t="n"/>
      <c r="C12" s="17" t="n"/>
      <c r="D12" s="17" t="n"/>
      <c r="E12" s="17" t="n"/>
      <c r="F12" s="25">
        <f>IF(COUNT(B12:E12)=0,"",SUM(B12:E12))</f>
        <v/>
      </c>
      <c r="G12" s="28">
        <f>IF(OR(F12="",F12=0),"",(C12+D12)/F12)</f>
        <v/>
      </c>
      <c r="H12" s="17" t="n"/>
      <c r="I12" s="17" t="n"/>
      <c r="J12" s="17" t="n"/>
      <c r="K12" s="17" t="n"/>
      <c r="L12" s="25">
        <f>IF(COUNT(H12:K12)=0,"",SUM(H12:K12))</f>
        <v/>
      </c>
      <c r="M12" s="28">
        <f>IF(OR(L12="",L12=0),"",(I12+J12)/L12)</f>
        <v/>
      </c>
      <c r="N12" s="17" t="n"/>
      <c r="O12" s="17" t="n"/>
      <c r="P12" s="17" t="n"/>
      <c r="Q12" s="17" t="n"/>
      <c r="R12" s="25">
        <f>IF(COUNT(N12:Q12)=0,"",SUM(N12:Q12))</f>
        <v/>
      </c>
      <c r="S12" s="28">
        <f>IF(OR(R12="",R12=0),"",(O12+P12)/R12)</f>
        <v/>
      </c>
      <c r="T12" s="17" t="n"/>
      <c r="U12" s="17" t="n"/>
      <c r="V12" s="17" t="n"/>
      <c r="W12" s="17" t="n"/>
      <c r="X12" s="25">
        <f>IF(COUNT(T12:W12)=0,"",SUM(T12:W12))</f>
        <v/>
      </c>
      <c r="Y12" s="28">
        <f>IF(OR(X12="",X12=0),"",(U12+V12)/X12)</f>
        <v/>
      </c>
      <c r="Z12" s="17" t="n"/>
      <c r="AA12" s="17" t="n"/>
      <c r="AB12" s="17" t="n"/>
      <c r="AC12" s="17" t="n"/>
      <c r="AD12" s="25">
        <f>IF(COUNT(Z12:AC12)=0,"",SUM(Z12:AC12))</f>
        <v/>
      </c>
      <c r="AE12" s="28">
        <f>IF(OR(AD12="",AD12=0),"",(AA12+AB12)/AD12)</f>
        <v/>
      </c>
      <c r="AF12" s="29">
        <f>IF(OR(G12="",Y12=""),"",Y12-G12)</f>
        <v/>
      </c>
    </row>
    <row r="13">
      <c r="A13" s="16" t="n"/>
      <c r="B13" s="17" t="n"/>
      <c r="C13" s="17" t="n"/>
      <c r="D13" s="17" t="n"/>
      <c r="E13" s="17" t="n"/>
      <c r="F13" s="25">
        <f>IF(COUNT(B13:E13)=0,"",SUM(B13:E13))</f>
        <v/>
      </c>
      <c r="G13" s="28">
        <f>IF(OR(F13="",F13=0),"",(C13+D13)/F13)</f>
        <v/>
      </c>
      <c r="H13" s="17" t="n"/>
      <c r="I13" s="17" t="n"/>
      <c r="J13" s="17" t="n"/>
      <c r="K13" s="17" t="n"/>
      <c r="L13" s="25">
        <f>IF(COUNT(H13:K13)=0,"",SUM(H13:K13))</f>
        <v/>
      </c>
      <c r="M13" s="28">
        <f>IF(OR(L13="",L13=0),"",(I13+J13)/L13)</f>
        <v/>
      </c>
      <c r="N13" s="17" t="n"/>
      <c r="O13" s="17" t="n"/>
      <c r="P13" s="17" t="n"/>
      <c r="Q13" s="17" t="n"/>
      <c r="R13" s="25">
        <f>IF(COUNT(N13:Q13)=0,"",SUM(N13:Q13))</f>
        <v/>
      </c>
      <c r="S13" s="28">
        <f>IF(OR(R13="",R13=0),"",(O13+P13)/R13)</f>
        <v/>
      </c>
      <c r="T13" s="17" t="n"/>
      <c r="U13" s="17" t="n"/>
      <c r="V13" s="17" t="n"/>
      <c r="W13" s="17" t="n"/>
      <c r="X13" s="25">
        <f>IF(COUNT(T13:W13)=0,"",SUM(T13:W13))</f>
        <v/>
      </c>
      <c r="Y13" s="28">
        <f>IF(OR(X13="",X13=0),"",(U13+V13)/X13)</f>
        <v/>
      </c>
      <c r="Z13" s="17" t="n"/>
      <c r="AA13" s="17" t="n"/>
      <c r="AB13" s="17" t="n"/>
      <c r="AC13" s="17" t="n"/>
      <c r="AD13" s="25">
        <f>IF(COUNT(Z13:AC13)=0,"",SUM(Z13:AC13))</f>
        <v/>
      </c>
      <c r="AE13" s="28">
        <f>IF(OR(AD13="",AD13=0),"",(AA13+AB13)/AD13)</f>
        <v/>
      </c>
      <c r="AF13" s="29">
        <f>IF(OR(G13="",Y13=""),"",Y13-G13)</f>
        <v/>
      </c>
    </row>
    <row r="14">
      <c r="A14" s="16" t="n"/>
      <c r="B14" s="17" t="n"/>
      <c r="C14" s="17" t="n"/>
      <c r="D14" s="17" t="n"/>
      <c r="E14" s="17" t="n"/>
      <c r="F14" s="25">
        <f>IF(COUNT(B14:E14)=0,"",SUM(B14:E14))</f>
        <v/>
      </c>
      <c r="G14" s="28">
        <f>IF(OR(F14="",F14=0),"",(C14+D14)/F14)</f>
        <v/>
      </c>
      <c r="H14" s="17" t="n"/>
      <c r="I14" s="17" t="n"/>
      <c r="J14" s="17" t="n"/>
      <c r="K14" s="17" t="n"/>
      <c r="L14" s="25">
        <f>IF(COUNT(H14:K14)=0,"",SUM(H14:K14))</f>
        <v/>
      </c>
      <c r="M14" s="28">
        <f>IF(OR(L14="",L14=0),"",(I14+J14)/L14)</f>
        <v/>
      </c>
      <c r="N14" s="17" t="n"/>
      <c r="O14" s="17" t="n"/>
      <c r="P14" s="17" t="n"/>
      <c r="Q14" s="17" t="n"/>
      <c r="R14" s="25">
        <f>IF(COUNT(N14:Q14)=0,"",SUM(N14:Q14))</f>
        <v/>
      </c>
      <c r="S14" s="28">
        <f>IF(OR(R14="",R14=0),"",(O14+P14)/R14)</f>
        <v/>
      </c>
      <c r="T14" s="17" t="n"/>
      <c r="U14" s="17" t="n"/>
      <c r="V14" s="17" t="n"/>
      <c r="W14" s="17" t="n"/>
      <c r="X14" s="25">
        <f>IF(COUNT(T14:W14)=0,"",SUM(T14:W14))</f>
        <v/>
      </c>
      <c r="Y14" s="28">
        <f>IF(OR(X14="",X14=0),"",(U14+V14)/X14)</f>
        <v/>
      </c>
      <c r="Z14" s="17" t="n"/>
      <c r="AA14" s="17" t="n"/>
      <c r="AB14" s="17" t="n"/>
      <c r="AC14" s="17" t="n"/>
      <c r="AD14" s="25">
        <f>IF(COUNT(Z14:AC14)=0,"",SUM(Z14:AC14))</f>
        <v/>
      </c>
      <c r="AE14" s="28">
        <f>IF(OR(AD14="",AD14=0),"",(AA14+AB14)/AD14)</f>
        <v/>
      </c>
      <c r="AF14" s="29">
        <f>IF(OR(G14="",Y14=""),"",Y14-G14)</f>
        <v/>
      </c>
    </row>
    <row r="15">
      <c r="A15" s="16" t="n"/>
      <c r="B15" s="17" t="n"/>
      <c r="C15" s="17" t="n"/>
      <c r="D15" s="17" t="n"/>
      <c r="E15" s="17" t="n"/>
      <c r="F15" s="25">
        <f>IF(COUNT(B15:E15)=0,"",SUM(B15:E15))</f>
        <v/>
      </c>
      <c r="G15" s="28">
        <f>IF(OR(F15="",F15=0),"",(C15+D15)/F15)</f>
        <v/>
      </c>
      <c r="H15" s="17" t="n"/>
      <c r="I15" s="17" t="n"/>
      <c r="J15" s="17" t="n"/>
      <c r="K15" s="17" t="n"/>
      <c r="L15" s="25">
        <f>IF(COUNT(H15:K15)=0,"",SUM(H15:K15))</f>
        <v/>
      </c>
      <c r="M15" s="28">
        <f>IF(OR(L15="",L15=0),"",(I15+J15)/L15)</f>
        <v/>
      </c>
      <c r="N15" s="17" t="n"/>
      <c r="O15" s="17" t="n"/>
      <c r="P15" s="17" t="n"/>
      <c r="Q15" s="17" t="n"/>
      <c r="R15" s="25">
        <f>IF(COUNT(N15:Q15)=0,"",SUM(N15:Q15))</f>
        <v/>
      </c>
      <c r="S15" s="28">
        <f>IF(OR(R15="",R15=0),"",(O15+P15)/R15)</f>
        <v/>
      </c>
      <c r="T15" s="17" t="n"/>
      <c r="U15" s="17" t="n"/>
      <c r="V15" s="17" t="n"/>
      <c r="W15" s="17" t="n"/>
      <c r="X15" s="25">
        <f>IF(COUNT(T15:W15)=0,"",SUM(T15:W15))</f>
        <v/>
      </c>
      <c r="Y15" s="28">
        <f>IF(OR(X15="",X15=0),"",(U15+V15)/X15)</f>
        <v/>
      </c>
      <c r="Z15" s="17" t="n"/>
      <c r="AA15" s="17" t="n"/>
      <c r="AB15" s="17" t="n"/>
      <c r="AC15" s="17" t="n"/>
      <c r="AD15" s="25">
        <f>IF(COUNT(Z15:AC15)=0,"",SUM(Z15:AC15))</f>
        <v/>
      </c>
      <c r="AE15" s="28">
        <f>IF(OR(AD15="",AD15=0),"",(AA15+AB15)/AD15)</f>
        <v/>
      </c>
      <c r="AF15" s="29">
        <f>IF(OR(G15="",Y15=""),"",Y15-G15)</f>
        <v/>
      </c>
    </row>
    <row r="16">
      <c r="A16" s="16" t="n"/>
      <c r="B16" s="17" t="n"/>
      <c r="C16" s="17" t="n"/>
      <c r="D16" s="17" t="n"/>
      <c r="E16" s="17" t="n"/>
      <c r="F16" s="25">
        <f>IF(COUNT(B16:E16)=0,"",SUM(B16:E16))</f>
        <v/>
      </c>
      <c r="G16" s="28">
        <f>IF(OR(F16="",F16=0),"",(C16+D16)/F16)</f>
        <v/>
      </c>
      <c r="H16" s="17" t="n"/>
      <c r="I16" s="17" t="n"/>
      <c r="J16" s="17" t="n"/>
      <c r="K16" s="17" t="n"/>
      <c r="L16" s="25">
        <f>IF(COUNT(H16:K16)=0,"",SUM(H16:K16))</f>
        <v/>
      </c>
      <c r="M16" s="28">
        <f>IF(OR(L16="",L16=0),"",(I16+J16)/L16)</f>
        <v/>
      </c>
      <c r="N16" s="17" t="n"/>
      <c r="O16" s="17" t="n"/>
      <c r="P16" s="17" t="n"/>
      <c r="Q16" s="17" t="n"/>
      <c r="R16" s="25">
        <f>IF(COUNT(N16:Q16)=0,"",SUM(N16:Q16))</f>
        <v/>
      </c>
      <c r="S16" s="28">
        <f>IF(OR(R16="",R16=0),"",(O16+P16)/R16)</f>
        <v/>
      </c>
      <c r="T16" s="17" t="n"/>
      <c r="U16" s="17" t="n"/>
      <c r="V16" s="17" t="n"/>
      <c r="W16" s="17" t="n"/>
      <c r="X16" s="25">
        <f>IF(COUNT(T16:W16)=0,"",SUM(T16:W16))</f>
        <v/>
      </c>
      <c r="Y16" s="28">
        <f>IF(OR(X16="",X16=0),"",(U16+V16)/X16)</f>
        <v/>
      </c>
      <c r="Z16" s="17" t="n"/>
      <c r="AA16" s="17" t="n"/>
      <c r="AB16" s="17" t="n"/>
      <c r="AC16" s="17" t="n"/>
      <c r="AD16" s="25">
        <f>IF(COUNT(Z16:AC16)=0,"",SUM(Z16:AC16))</f>
        <v/>
      </c>
      <c r="AE16" s="28">
        <f>IF(OR(AD16="",AD16=0),"",(AA16+AB16)/AD16)</f>
        <v/>
      </c>
      <c r="AF16" s="29">
        <f>IF(OR(G16="",Y16=""),"",Y16-G16)</f>
        <v/>
      </c>
    </row>
    <row r="17">
      <c r="A17" s="16" t="n"/>
      <c r="B17" s="17" t="n"/>
      <c r="C17" s="17" t="n"/>
      <c r="D17" s="17" t="n"/>
      <c r="E17" s="17" t="n"/>
      <c r="F17" s="25">
        <f>IF(COUNT(B17:E17)=0,"",SUM(B17:E17))</f>
        <v/>
      </c>
      <c r="G17" s="28">
        <f>IF(OR(F17="",F17=0),"",(C17+D17)/F17)</f>
        <v/>
      </c>
      <c r="H17" s="17" t="n"/>
      <c r="I17" s="17" t="n"/>
      <c r="J17" s="17" t="n"/>
      <c r="K17" s="17" t="n"/>
      <c r="L17" s="25">
        <f>IF(COUNT(H17:K17)=0,"",SUM(H17:K17))</f>
        <v/>
      </c>
      <c r="M17" s="28">
        <f>IF(OR(L17="",L17=0),"",(I17+J17)/L17)</f>
        <v/>
      </c>
      <c r="N17" s="17" t="n"/>
      <c r="O17" s="17" t="n"/>
      <c r="P17" s="17" t="n"/>
      <c r="Q17" s="17" t="n"/>
      <c r="R17" s="25">
        <f>IF(COUNT(N17:Q17)=0,"",SUM(N17:Q17))</f>
        <v/>
      </c>
      <c r="S17" s="28">
        <f>IF(OR(R17="",R17=0),"",(O17+P17)/R17)</f>
        <v/>
      </c>
      <c r="T17" s="17" t="n"/>
      <c r="U17" s="17" t="n"/>
      <c r="V17" s="17" t="n"/>
      <c r="W17" s="17" t="n"/>
      <c r="X17" s="25">
        <f>IF(COUNT(T17:W17)=0,"",SUM(T17:W17))</f>
        <v/>
      </c>
      <c r="Y17" s="28">
        <f>IF(OR(X17="",X17=0),"",(U17+V17)/X17)</f>
        <v/>
      </c>
      <c r="Z17" s="17" t="n"/>
      <c r="AA17" s="17" t="n"/>
      <c r="AB17" s="17" t="n"/>
      <c r="AC17" s="17" t="n"/>
      <c r="AD17" s="25">
        <f>IF(COUNT(Z17:AC17)=0,"",SUM(Z17:AC17))</f>
        <v/>
      </c>
      <c r="AE17" s="28">
        <f>IF(OR(AD17="",AD17=0),"",(AA17+AB17)/AD17)</f>
        <v/>
      </c>
      <c r="AF17" s="29">
        <f>IF(OR(G17="",Y17=""),"",Y17-G17)</f>
        <v/>
      </c>
    </row>
    <row r="18">
      <c r="A18" s="16" t="n"/>
      <c r="B18" s="17" t="n"/>
      <c r="C18" s="17" t="n"/>
      <c r="D18" s="17" t="n"/>
      <c r="E18" s="17" t="n"/>
      <c r="F18" s="25">
        <f>IF(COUNT(B18:E18)=0,"",SUM(B18:E18))</f>
        <v/>
      </c>
      <c r="G18" s="28">
        <f>IF(OR(F18="",F18=0),"",(C18+D18)/F18)</f>
        <v/>
      </c>
      <c r="H18" s="17" t="n"/>
      <c r="I18" s="17" t="n"/>
      <c r="J18" s="17" t="n"/>
      <c r="K18" s="17" t="n"/>
      <c r="L18" s="25">
        <f>IF(COUNT(H18:K18)=0,"",SUM(H18:K18))</f>
        <v/>
      </c>
      <c r="M18" s="28">
        <f>IF(OR(L18="",L18=0),"",(I18+J18)/L18)</f>
        <v/>
      </c>
      <c r="N18" s="17" t="n"/>
      <c r="O18" s="17" t="n"/>
      <c r="P18" s="17" t="n"/>
      <c r="Q18" s="17" t="n"/>
      <c r="R18" s="25">
        <f>IF(COUNT(N18:Q18)=0,"",SUM(N18:Q18))</f>
        <v/>
      </c>
      <c r="S18" s="28">
        <f>IF(OR(R18="",R18=0),"",(O18+P18)/R18)</f>
        <v/>
      </c>
      <c r="T18" s="17" t="n"/>
      <c r="U18" s="17" t="n"/>
      <c r="V18" s="17" t="n"/>
      <c r="W18" s="17" t="n"/>
      <c r="X18" s="25">
        <f>IF(COUNT(T18:W18)=0,"",SUM(T18:W18))</f>
        <v/>
      </c>
      <c r="Y18" s="28">
        <f>IF(OR(X18="",X18=0),"",(U18+V18)/X18)</f>
        <v/>
      </c>
      <c r="Z18" s="17" t="n"/>
      <c r="AA18" s="17" t="n"/>
      <c r="AB18" s="17" t="n"/>
      <c r="AC18" s="17" t="n"/>
      <c r="AD18" s="25">
        <f>IF(COUNT(Z18:AC18)=0,"",SUM(Z18:AC18))</f>
        <v/>
      </c>
      <c r="AE18" s="28">
        <f>IF(OR(AD18="",AD18=0),"",(AA18+AB18)/AD18)</f>
        <v/>
      </c>
      <c r="AF18" s="29">
        <f>IF(OR(G18="",Y18=""),"",Y18-G18)</f>
        <v/>
      </c>
    </row>
    <row r="19">
      <c r="A19" s="16" t="n"/>
      <c r="B19" s="17" t="n"/>
      <c r="C19" s="17" t="n"/>
      <c r="D19" s="17" t="n"/>
      <c r="E19" s="17" t="n"/>
      <c r="F19" s="25">
        <f>IF(COUNT(B19:E19)=0,"",SUM(B19:E19))</f>
        <v/>
      </c>
      <c r="G19" s="28">
        <f>IF(OR(F19="",F19=0),"",(C19+D19)/F19)</f>
        <v/>
      </c>
      <c r="H19" s="17" t="n"/>
      <c r="I19" s="17" t="n"/>
      <c r="J19" s="17" t="n"/>
      <c r="K19" s="17" t="n"/>
      <c r="L19" s="25">
        <f>IF(COUNT(H19:K19)=0,"",SUM(H19:K19))</f>
        <v/>
      </c>
      <c r="M19" s="28">
        <f>IF(OR(L19="",L19=0),"",(I19+J19)/L19)</f>
        <v/>
      </c>
      <c r="N19" s="17" t="n"/>
      <c r="O19" s="17" t="n"/>
      <c r="P19" s="17" t="n"/>
      <c r="Q19" s="17" t="n"/>
      <c r="R19" s="25">
        <f>IF(COUNT(N19:Q19)=0,"",SUM(N19:Q19))</f>
        <v/>
      </c>
      <c r="S19" s="28">
        <f>IF(OR(R19="",R19=0),"",(O19+P19)/R19)</f>
        <v/>
      </c>
      <c r="T19" s="17" t="n"/>
      <c r="U19" s="17" t="n"/>
      <c r="V19" s="17" t="n"/>
      <c r="W19" s="17" t="n"/>
      <c r="X19" s="25">
        <f>IF(COUNT(T19:W19)=0,"",SUM(T19:W19))</f>
        <v/>
      </c>
      <c r="Y19" s="28">
        <f>IF(OR(X19="",X19=0),"",(U19+V19)/X19)</f>
        <v/>
      </c>
      <c r="Z19" s="17" t="n"/>
      <c r="AA19" s="17" t="n"/>
      <c r="AB19" s="17" t="n"/>
      <c r="AC19" s="17" t="n"/>
      <c r="AD19" s="25">
        <f>IF(COUNT(Z19:AC19)=0,"",SUM(Z19:AC19))</f>
        <v/>
      </c>
      <c r="AE19" s="28">
        <f>IF(OR(AD19="",AD19=0),"",(AA19+AB19)/AD19)</f>
        <v/>
      </c>
      <c r="AF19" s="29">
        <f>IF(OR(G19="",Y19=""),"",Y19-G19)</f>
        <v/>
      </c>
    </row>
    <row r="20">
      <c r="A20" s="16" t="n"/>
      <c r="B20" s="17" t="n"/>
      <c r="C20" s="17" t="n"/>
      <c r="D20" s="17" t="n"/>
      <c r="E20" s="17" t="n"/>
      <c r="F20" s="25">
        <f>IF(COUNT(B20:E20)=0,"",SUM(B20:E20))</f>
        <v/>
      </c>
      <c r="G20" s="28">
        <f>IF(OR(F20="",F20=0),"",(C20+D20)/F20)</f>
        <v/>
      </c>
      <c r="H20" s="17" t="n"/>
      <c r="I20" s="17" t="n"/>
      <c r="J20" s="17" t="n"/>
      <c r="K20" s="17" t="n"/>
      <c r="L20" s="25">
        <f>IF(COUNT(H20:K20)=0,"",SUM(H20:K20))</f>
        <v/>
      </c>
      <c r="M20" s="28">
        <f>IF(OR(L20="",L20=0),"",(I20+J20)/L20)</f>
        <v/>
      </c>
      <c r="N20" s="17" t="n"/>
      <c r="O20" s="17" t="n"/>
      <c r="P20" s="17" t="n"/>
      <c r="Q20" s="17" t="n"/>
      <c r="R20" s="25">
        <f>IF(COUNT(N20:Q20)=0,"",SUM(N20:Q20))</f>
        <v/>
      </c>
      <c r="S20" s="28">
        <f>IF(OR(R20="",R20=0),"",(O20+P20)/R20)</f>
        <v/>
      </c>
      <c r="T20" s="17" t="n"/>
      <c r="U20" s="17" t="n"/>
      <c r="V20" s="17" t="n"/>
      <c r="W20" s="17" t="n"/>
      <c r="X20" s="25">
        <f>IF(COUNT(T20:W20)=0,"",SUM(T20:W20))</f>
        <v/>
      </c>
      <c r="Y20" s="28">
        <f>IF(OR(X20="",X20=0),"",(U20+V20)/X20)</f>
        <v/>
      </c>
      <c r="Z20" s="17" t="n"/>
      <c r="AA20" s="17" t="n"/>
      <c r="AB20" s="17" t="n"/>
      <c r="AC20" s="17" t="n"/>
      <c r="AD20" s="25">
        <f>IF(COUNT(Z20:AC20)=0,"",SUM(Z20:AC20))</f>
        <v/>
      </c>
      <c r="AE20" s="28">
        <f>IF(OR(AD20="",AD20=0),"",(AA20+AB20)/AD20)</f>
        <v/>
      </c>
      <c r="AF20" s="29">
        <f>IF(OR(G20="",Y20=""),"",Y20-G20)</f>
        <v/>
      </c>
    </row>
    <row r="21">
      <c r="A21" s="16" t="n"/>
      <c r="B21" s="17" t="n"/>
      <c r="C21" s="17" t="n"/>
      <c r="D21" s="17" t="n"/>
      <c r="E21" s="17" t="n"/>
      <c r="F21" s="25">
        <f>IF(COUNT(B21:E21)=0,"",SUM(B21:E21))</f>
        <v/>
      </c>
      <c r="G21" s="28">
        <f>IF(OR(F21="",F21=0),"",(C21+D21)/F21)</f>
        <v/>
      </c>
      <c r="H21" s="17" t="n"/>
      <c r="I21" s="17" t="n"/>
      <c r="J21" s="17" t="n"/>
      <c r="K21" s="17" t="n"/>
      <c r="L21" s="25">
        <f>IF(COUNT(H21:K21)=0,"",SUM(H21:K21))</f>
        <v/>
      </c>
      <c r="M21" s="28">
        <f>IF(OR(L21="",L21=0),"",(I21+J21)/L21)</f>
        <v/>
      </c>
      <c r="N21" s="17" t="n"/>
      <c r="O21" s="17" t="n"/>
      <c r="P21" s="17" t="n"/>
      <c r="Q21" s="17" t="n"/>
      <c r="R21" s="25">
        <f>IF(COUNT(N21:Q21)=0,"",SUM(N21:Q21))</f>
        <v/>
      </c>
      <c r="S21" s="28">
        <f>IF(OR(R21="",R21=0),"",(O21+P21)/R21)</f>
        <v/>
      </c>
      <c r="T21" s="17" t="n"/>
      <c r="U21" s="17" t="n"/>
      <c r="V21" s="17" t="n"/>
      <c r="W21" s="17" t="n"/>
      <c r="X21" s="25">
        <f>IF(COUNT(T21:W21)=0,"",SUM(T21:W21))</f>
        <v/>
      </c>
      <c r="Y21" s="28">
        <f>IF(OR(X21="",X21=0),"",(U21+V21)/X21)</f>
        <v/>
      </c>
      <c r="Z21" s="17" t="n"/>
      <c r="AA21" s="17" t="n"/>
      <c r="AB21" s="17" t="n"/>
      <c r="AC21" s="17" t="n"/>
      <c r="AD21" s="25">
        <f>IF(COUNT(Z21:AC21)=0,"",SUM(Z21:AC21))</f>
        <v/>
      </c>
      <c r="AE21" s="28">
        <f>IF(OR(AD21="",AD21=0),"",(AA21+AB21)/AD21)</f>
        <v/>
      </c>
      <c r="AF21" s="29">
        <f>IF(OR(G21="",Y21=""),"",Y21-G21)</f>
        <v/>
      </c>
    </row>
    <row r="22">
      <c r="A22" s="16" t="n"/>
      <c r="B22" s="17" t="n"/>
      <c r="C22" s="17" t="n"/>
      <c r="D22" s="17" t="n"/>
      <c r="E22" s="17" t="n"/>
      <c r="F22" s="25">
        <f>IF(COUNT(B22:E22)=0,"",SUM(B22:E22))</f>
        <v/>
      </c>
      <c r="G22" s="28">
        <f>IF(OR(F22="",F22=0),"",(C22+D22)/F22)</f>
        <v/>
      </c>
      <c r="H22" s="17" t="n"/>
      <c r="I22" s="17" t="n"/>
      <c r="J22" s="17" t="n"/>
      <c r="K22" s="17" t="n"/>
      <c r="L22" s="25">
        <f>IF(COUNT(H22:K22)=0,"",SUM(H22:K22))</f>
        <v/>
      </c>
      <c r="M22" s="28">
        <f>IF(OR(L22="",L22=0),"",(I22+J22)/L22)</f>
        <v/>
      </c>
      <c r="N22" s="17" t="n"/>
      <c r="O22" s="17" t="n"/>
      <c r="P22" s="17" t="n"/>
      <c r="Q22" s="17" t="n"/>
      <c r="R22" s="25">
        <f>IF(COUNT(N22:Q22)=0,"",SUM(N22:Q22))</f>
        <v/>
      </c>
      <c r="S22" s="28">
        <f>IF(OR(R22="",R22=0),"",(O22+P22)/R22)</f>
        <v/>
      </c>
      <c r="T22" s="17" t="n"/>
      <c r="U22" s="17" t="n"/>
      <c r="V22" s="17" t="n"/>
      <c r="W22" s="17" t="n"/>
      <c r="X22" s="25">
        <f>IF(COUNT(T22:W22)=0,"",SUM(T22:W22))</f>
        <v/>
      </c>
      <c r="Y22" s="28">
        <f>IF(OR(X22="",X22=0),"",(U22+V22)/X22)</f>
        <v/>
      </c>
      <c r="Z22" s="17" t="n"/>
      <c r="AA22" s="17" t="n"/>
      <c r="AB22" s="17" t="n"/>
      <c r="AC22" s="17" t="n"/>
      <c r="AD22" s="25">
        <f>IF(COUNT(Z22:AC22)=0,"",SUM(Z22:AC22))</f>
        <v/>
      </c>
      <c r="AE22" s="28">
        <f>IF(OR(AD22="",AD22=0),"",(AA22+AB22)/AD22)</f>
        <v/>
      </c>
      <c r="AF22" s="29">
        <f>IF(OR(G22="",Y22=""),"",Y22-G22)</f>
        <v/>
      </c>
    </row>
    <row r="23">
      <c r="A23" s="16" t="n"/>
      <c r="B23" s="17" t="n"/>
      <c r="C23" s="17" t="n"/>
      <c r="D23" s="17" t="n"/>
      <c r="E23" s="17" t="n"/>
      <c r="F23" s="25">
        <f>IF(COUNT(B23:E23)=0,"",SUM(B23:E23))</f>
        <v/>
      </c>
      <c r="G23" s="28">
        <f>IF(OR(F23="",F23=0),"",(C23+D23)/F23)</f>
        <v/>
      </c>
      <c r="H23" s="17" t="n"/>
      <c r="I23" s="17" t="n"/>
      <c r="J23" s="17" t="n"/>
      <c r="K23" s="17" t="n"/>
      <c r="L23" s="25">
        <f>IF(COUNT(H23:K23)=0,"",SUM(H23:K23))</f>
        <v/>
      </c>
      <c r="M23" s="28">
        <f>IF(OR(L23="",L23=0),"",(I23+J23)/L23)</f>
        <v/>
      </c>
      <c r="N23" s="17" t="n"/>
      <c r="O23" s="17" t="n"/>
      <c r="P23" s="17" t="n"/>
      <c r="Q23" s="17" t="n"/>
      <c r="R23" s="25">
        <f>IF(COUNT(N23:Q23)=0,"",SUM(N23:Q23))</f>
        <v/>
      </c>
      <c r="S23" s="28">
        <f>IF(OR(R23="",R23=0),"",(O23+P23)/R23)</f>
        <v/>
      </c>
      <c r="T23" s="17" t="n"/>
      <c r="U23" s="17" t="n"/>
      <c r="V23" s="17" t="n"/>
      <c r="W23" s="17" t="n"/>
      <c r="X23" s="25">
        <f>IF(COUNT(T23:W23)=0,"",SUM(T23:W23))</f>
        <v/>
      </c>
      <c r="Y23" s="28">
        <f>IF(OR(X23="",X23=0),"",(U23+V23)/X23)</f>
        <v/>
      </c>
      <c r="Z23" s="17" t="n"/>
      <c r="AA23" s="17" t="n"/>
      <c r="AB23" s="17" t="n"/>
      <c r="AC23" s="17" t="n"/>
      <c r="AD23" s="25">
        <f>IF(COUNT(Z23:AC23)=0,"",SUM(Z23:AC23))</f>
        <v/>
      </c>
      <c r="AE23" s="28">
        <f>IF(OR(AD23="",AD23=0),"",(AA23+AB23)/AD23)</f>
        <v/>
      </c>
      <c r="AF23" s="29">
        <f>IF(OR(G23="",Y23=""),"",Y23-G23)</f>
        <v/>
      </c>
    </row>
    <row r="24">
      <c r="A24" s="16" t="n"/>
      <c r="B24" s="17" t="n"/>
      <c r="C24" s="17" t="n"/>
      <c r="D24" s="17" t="n"/>
      <c r="E24" s="17" t="n"/>
      <c r="F24" s="25">
        <f>IF(COUNT(B24:E24)=0,"",SUM(B24:E24))</f>
        <v/>
      </c>
      <c r="G24" s="28">
        <f>IF(OR(F24="",F24=0),"",(C24+D24)/F24)</f>
        <v/>
      </c>
      <c r="H24" s="17" t="n"/>
      <c r="I24" s="17" t="n"/>
      <c r="J24" s="17" t="n"/>
      <c r="K24" s="17" t="n"/>
      <c r="L24" s="25">
        <f>IF(COUNT(H24:K24)=0,"",SUM(H24:K24))</f>
        <v/>
      </c>
      <c r="M24" s="28">
        <f>IF(OR(L24="",L24=0),"",(I24+J24)/L24)</f>
        <v/>
      </c>
      <c r="N24" s="17" t="n"/>
      <c r="O24" s="17" t="n"/>
      <c r="P24" s="17" t="n"/>
      <c r="Q24" s="17" t="n"/>
      <c r="R24" s="25">
        <f>IF(COUNT(N24:Q24)=0,"",SUM(N24:Q24))</f>
        <v/>
      </c>
      <c r="S24" s="28">
        <f>IF(OR(R24="",R24=0),"",(O24+P24)/R24)</f>
        <v/>
      </c>
      <c r="T24" s="17" t="n"/>
      <c r="U24" s="17" t="n"/>
      <c r="V24" s="17" t="n"/>
      <c r="W24" s="17" t="n"/>
      <c r="X24" s="25">
        <f>IF(COUNT(T24:W24)=0,"",SUM(T24:W24))</f>
        <v/>
      </c>
      <c r="Y24" s="28">
        <f>IF(OR(X24="",X24=0),"",(U24+V24)/X24)</f>
        <v/>
      </c>
      <c r="Z24" s="17" t="n"/>
      <c r="AA24" s="17" t="n"/>
      <c r="AB24" s="17" t="n"/>
      <c r="AC24" s="17" t="n"/>
      <c r="AD24" s="25">
        <f>IF(COUNT(Z24:AC24)=0,"",SUM(Z24:AC24))</f>
        <v/>
      </c>
      <c r="AE24" s="28">
        <f>IF(OR(AD24="",AD24=0),"",(AA24+AB24)/AD24)</f>
        <v/>
      </c>
      <c r="AF24" s="29">
        <f>IF(OR(G24="",Y24=""),"",Y24-G24)</f>
        <v/>
      </c>
    </row>
    <row r="25">
      <c r="A25" s="16" t="n"/>
      <c r="B25" s="17" t="n"/>
      <c r="C25" s="17" t="n"/>
      <c r="D25" s="17" t="n"/>
      <c r="E25" s="17" t="n"/>
      <c r="F25" s="25">
        <f>IF(COUNT(B25:E25)=0,"",SUM(B25:E25))</f>
        <v/>
      </c>
      <c r="G25" s="28">
        <f>IF(OR(F25="",F25=0),"",(C25+D25)/F25)</f>
        <v/>
      </c>
      <c r="H25" s="17" t="n"/>
      <c r="I25" s="17" t="n"/>
      <c r="J25" s="17" t="n"/>
      <c r="K25" s="17" t="n"/>
      <c r="L25" s="25">
        <f>IF(COUNT(H25:K25)=0,"",SUM(H25:K25))</f>
        <v/>
      </c>
      <c r="M25" s="28">
        <f>IF(OR(L25="",L25=0),"",(I25+J25)/L25)</f>
        <v/>
      </c>
      <c r="N25" s="17" t="n"/>
      <c r="O25" s="17" t="n"/>
      <c r="P25" s="17" t="n"/>
      <c r="Q25" s="17" t="n"/>
      <c r="R25" s="25">
        <f>IF(COUNT(N25:Q25)=0,"",SUM(N25:Q25))</f>
        <v/>
      </c>
      <c r="S25" s="28">
        <f>IF(OR(R25="",R25=0),"",(O25+P25)/R25)</f>
        <v/>
      </c>
      <c r="T25" s="17" t="n"/>
      <c r="U25" s="17" t="n"/>
      <c r="V25" s="17" t="n"/>
      <c r="W25" s="17" t="n"/>
      <c r="X25" s="25">
        <f>IF(COUNT(T25:W25)=0,"",SUM(T25:W25))</f>
        <v/>
      </c>
      <c r="Y25" s="28">
        <f>IF(OR(X25="",X25=0),"",(U25+V25)/X25)</f>
        <v/>
      </c>
      <c r="Z25" s="17" t="n"/>
      <c r="AA25" s="17" t="n"/>
      <c r="AB25" s="17" t="n"/>
      <c r="AC25" s="17" t="n"/>
      <c r="AD25" s="25">
        <f>IF(COUNT(Z25:AC25)=0,"",SUM(Z25:AC25))</f>
        <v/>
      </c>
      <c r="AE25" s="28">
        <f>IF(OR(AD25="",AD25=0),"",(AA25+AB25)/AD25)</f>
        <v/>
      </c>
      <c r="AF25" s="29">
        <f>IF(OR(G25="",Y25=""),"",Y25-G25)</f>
        <v/>
      </c>
    </row>
    <row r="26">
      <c r="A26" s="16" t="n"/>
      <c r="B26" s="17" t="n"/>
      <c r="C26" s="17" t="n"/>
      <c r="D26" s="17" t="n"/>
      <c r="E26" s="17" t="n"/>
      <c r="F26" s="25">
        <f>IF(COUNT(B26:E26)=0,"",SUM(B26:E26))</f>
        <v/>
      </c>
      <c r="G26" s="28">
        <f>IF(OR(F26="",F26=0),"",(C26+D26)/F26)</f>
        <v/>
      </c>
      <c r="H26" s="17" t="n"/>
      <c r="I26" s="17" t="n"/>
      <c r="J26" s="17" t="n"/>
      <c r="K26" s="17" t="n"/>
      <c r="L26" s="25">
        <f>IF(COUNT(H26:K26)=0,"",SUM(H26:K26))</f>
        <v/>
      </c>
      <c r="M26" s="28">
        <f>IF(OR(L26="",L26=0),"",(I26+J26)/L26)</f>
        <v/>
      </c>
      <c r="N26" s="17" t="n"/>
      <c r="O26" s="17" t="n"/>
      <c r="P26" s="17" t="n"/>
      <c r="Q26" s="17" t="n"/>
      <c r="R26" s="25">
        <f>IF(COUNT(N26:Q26)=0,"",SUM(N26:Q26))</f>
        <v/>
      </c>
      <c r="S26" s="28">
        <f>IF(OR(R26="",R26=0),"",(O26+P26)/R26)</f>
        <v/>
      </c>
      <c r="T26" s="17" t="n"/>
      <c r="U26" s="17" t="n"/>
      <c r="V26" s="17" t="n"/>
      <c r="W26" s="17" t="n"/>
      <c r="X26" s="25">
        <f>IF(COUNT(T26:W26)=0,"",SUM(T26:W26))</f>
        <v/>
      </c>
      <c r="Y26" s="28">
        <f>IF(OR(X26="",X26=0),"",(U26+V26)/X26)</f>
        <v/>
      </c>
      <c r="Z26" s="17" t="n"/>
      <c r="AA26" s="17" t="n"/>
      <c r="AB26" s="17" t="n"/>
      <c r="AC26" s="17" t="n"/>
      <c r="AD26" s="25">
        <f>IF(COUNT(Z26:AC26)=0,"",SUM(Z26:AC26))</f>
        <v/>
      </c>
      <c r="AE26" s="28">
        <f>IF(OR(AD26="",AD26=0),"",(AA26+AB26)/AD26)</f>
        <v/>
      </c>
      <c r="AF26" s="29">
        <f>IF(OR(G26="",Y26=""),"",Y26-G26)</f>
        <v/>
      </c>
    </row>
    <row r="27">
      <c r="A27" s="16" t="n"/>
      <c r="B27" s="17" t="n"/>
      <c r="C27" s="17" t="n"/>
      <c r="D27" s="17" t="n"/>
      <c r="E27" s="17" t="n"/>
      <c r="F27" s="25">
        <f>IF(COUNT(B27:E27)=0,"",SUM(B27:E27))</f>
        <v/>
      </c>
      <c r="G27" s="28">
        <f>IF(OR(F27="",F27=0),"",(C27+D27)/F27)</f>
        <v/>
      </c>
      <c r="H27" s="17" t="n"/>
      <c r="I27" s="17" t="n"/>
      <c r="J27" s="17" t="n"/>
      <c r="K27" s="17" t="n"/>
      <c r="L27" s="25">
        <f>IF(COUNT(H27:K27)=0,"",SUM(H27:K27))</f>
        <v/>
      </c>
      <c r="M27" s="28">
        <f>IF(OR(L27="",L27=0),"",(I27+J27)/L27)</f>
        <v/>
      </c>
      <c r="N27" s="17" t="n"/>
      <c r="O27" s="17" t="n"/>
      <c r="P27" s="17" t="n"/>
      <c r="Q27" s="17" t="n"/>
      <c r="R27" s="25">
        <f>IF(COUNT(N27:Q27)=0,"",SUM(N27:Q27))</f>
        <v/>
      </c>
      <c r="S27" s="28">
        <f>IF(OR(R27="",R27=0),"",(O27+P27)/R27)</f>
        <v/>
      </c>
      <c r="T27" s="17" t="n"/>
      <c r="U27" s="17" t="n"/>
      <c r="V27" s="17" t="n"/>
      <c r="W27" s="17" t="n"/>
      <c r="X27" s="25">
        <f>IF(COUNT(T27:W27)=0,"",SUM(T27:W27))</f>
        <v/>
      </c>
      <c r="Y27" s="28">
        <f>IF(OR(X27="",X27=0),"",(U27+V27)/X27)</f>
        <v/>
      </c>
      <c r="Z27" s="17" t="n"/>
      <c r="AA27" s="17" t="n"/>
      <c r="AB27" s="17" t="n"/>
      <c r="AC27" s="17" t="n"/>
      <c r="AD27" s="25">
        <f>IF(COUNT(Z27:AC27)=0,"",SUM(Z27:AC27))</f>
        <v/>
      </c>
      <c r="AE27" s="28">
        <f>IF(OR(AD27="",AD27=0),"",(AA27+AB27)/AD27)</f>
        <v/>
      </c>
      <c r="AF27" s="29">
        <f>IF(OR(G27="",Y27=""),"",Y27-G27)</f>
        <v/>
      </c>
    </row>
    <row r="28">
      <c r="A28" s="16" t="n"/>
      <c r="B28" s="17" t="n"/>
      <c r="C28" s="17" t="n"/>
      <c r="D28" s="17" t="n"/>
      <c r="E28" s="17" t="n"/>
      <c r="F28" s="25">
        <f>IF(COUNT(B28:E28)=0,"",SUM(B28:E28))</f>
        <v/>
      </c>
      <c r="G28" s="28">
        <f>IF(OR(F28="",F28=0),"",(C28+D28)/F28)</f>
        <v/>
      </c>
      <c r="H28" s="17" t="n"/>
      <c r="I28" s="17" t="n"/>
      <c r="J28" s="17" t="n"/>
      <c r="K28" s="17" t="n"/>
      <c r="L28" s="25">
        <f>IF(COUNT(H28:K28)=0,"",SUM(H28:K28))</f>
        <v/>
      </c>
      <c r="M28" s="28">
        <f>IF(OR(L28="",L28=0),"",(I28+J28)/L28)</f>
        <v/>
      </c>
      <c r="N28" s="17" t="n"/>
      <c r="O28" s="17" t="n"/>
      <c r="P28" s="17" t="n"/>
      <c r="Q28" s="17" t="n"/>
      <c r="R28" s="25">
        <f>IF(COUNT(N28:Q28)=0,"",SUM(N28:Q28))</f>
        <v/>
      </c>
      <c r="S28" s="28">
        <f>IF(OR(R28="",R28=0),"",(O28+P28)/R28)</f>
        <v/>
      </c>
      <c r="T28" s="17" t="n"/>
      <c r="U28" s="17" t="n"/>
      <c r="V28" s="17" t="n"/>
      <c r="W28" s="17" t="n"/>
      <c r="X28" s="25">
        <f>IF(COUNT(T28:W28)=0,"",SUM(T28:W28))</f>
        <v/>
      </c>
      <c r="Y28" s="28">
        <f>IF(OR(X28="",X28=0),"",(U28+V28)/X28)</f>
        <v/>
      </c>
      <c r="Z28" s="17" t="n"/>
      <c r="AA28" s="17" t="n"/>
      <c r="AB28" s="17" t="n"/>
      <c r="AC28" s="17" t="n"/>
      <c r="AD28" s="25">
        <f>IF(COUNT(Z28:AC28)=0,"",SUM(Z28:AC28))</f>
        <v/>
      </c>
      <c r="AE28" s="28">
        <f>IF(OR(AD28="",AD28=0),"",(AA28+AB28)/AD28)</f>
        <v/>
      </c>
      <c r="AF28" s="29">
        <f>IF(OR(G28="",Y28=""),"",Y28-G28)</f>
        <v/>
      </c>
    </row>
    <row r="29">
      <c r="A29" s="16" t="n"/>
      <c r="B29" s="17" t="n"/>
      <c r="C29" s="17" t="n"/>
      <c r="D29" s="17" t="n"/>
      <c r="E29" s="17" t="n"/>
      <c r="F29" s="25">
        <f>IF(COUNT(B29:E29)=0,"",SUM(B29:E29))</f>
        <v/>
      </c>
      <c r="G29" s="28">
        <f>IF(OR(F29="",F29=0),"",(C29+D29)/F29)</f>
        <v/>
      </c>
      <c r="H29" s="17" t="n"/>
      <c r="I29" s="17" t="n"/>
      <c r="J29" s="17" t="n"/>
      <c r="K29" s="17" t="n"/>
      <c r="L29" s="25">
        <f>IF(COUNT(H29:K29)=0,"",SUM(H29:K29))</f>
        <v/>
      </c>
      <c r="M29" s="28">
        <f>IF(OR(L29="",L29=0),"",(I29+J29)/L29)</f>
        <v/>
      </c>
      <c r="N29" s="17" t="n"/>
      <c r="O29" s="17" t="n"/>
      <c r="P29" s="17" t="n"/>
      <c r="Q29" s="17" t="n"/>
      <c r="R29" s="25">
        <f>IF(COUNT(N29:Q29)=0,"",SUM(N29:Q29))</f>
        <v/>
      </c>
      <c r="S29" s="28">
        <f>IF(OR(R29="",R29=0),"",(O29+P29)/R29)</f>
        <v/>
      </c>
      <c r="T29" s="17" t="n"/>
      <c r="U29" s="17" t="n"/>
      <c r="V29" s="17" t="n"/>
      <c r="W29" s="17" t="n"/>
      <c r="X29" s="25">
        <f>IF(COUNT(T29:W29)=0,"",SUM(T29:W29))</f>
        <v/>
      </c>
      <c r="Y29" s="28">
        <f>IF(OR(X29="",X29=0),"",(U29+V29)/X29)</f>
        <v/>
      </c>
      <c r="Z29" s="17" t="n"/>
      <c r="AA29" s="17" t="n"/>
      <c r="AB29" s="17" t="n"/>
      <c r="AC29" s="17" t="n"/>
      <c r="AD29" s="25">
        <f>IF(COUNT(Z29:AC29)=0,"",SUM(Z29:AC29))</f>
        <v/>
      </c>
      <c r="AE29" s="28">
        <f>IF(OR(AD29="",AD29=0),"",(AA29+AB29)/AD29)</f>
        <v/>
      </c>
      <c r="AF29" s="29">
        <f>IF(OR(G29="",Y29=""),"",Y29-G29)</f>
        <v/>
      </c>
    </row>
    <row r="30">
      <c r="A30" s="16" t="n"/>
      <c r="B30" s="17" t="n"/>
      <c r="C30" s="17" t="n"/>
      <c r="D30" s="17" t="n"/>
      <c r="E30" s="17" t="n"/>
      <c r="F30" s="25">
        <f>IF(COUNT(B30:E30)=0,"",SUM(B30:E30))</f>
        <v/>
      </c>
      <c r="G30" s="28">
        <f>IF(OR(F30="",F30=0),"",(C30+D30)/F30)</f>
        <v/>
      </c>
      <c r="H30" s="17" t="n"/>
      <c r="I30" s="17" t="n"/>
      <c r="J30" s="17" t="n"/>
      <c r="K30" s="17" t="n"/>
      <c r="L30" s="25">
        <f>IF(COUNT(H30:K30)=0,"",SUM(H30:K30))</f>
        <v/>
      </c>
      <c r="M30" s="28">
        <f>IF(OR(L30="",L30=0),"",(I30+J30)/L30)</f>
        <v/>
      </c>
      <c r="N30" s="17" t="n"/>
      <c r="O30" s="17" t="n"/>
      <c r="P30" s="17" t="n"/>
      <c r="Q30" s="17" t="n"/>
      <c r="R30" s="25">
        <f>IF(COUNT(N30:Q30)=0,"",SUM(N30:Q30))</f>
        <v/>
      </c>
      <c r="S30" s="28">
        <f>IF(OR(R30="",R30=0),"",(O30+P30)/R30)</f>
        <v/>
      </c>
      <c r="T30" s="17" t="n"/>
      <c r="U30" s="17" t="n"/>
      <c r="V30" s="17" t="n"/>
      <c r="W30" s="17" t="n"/>
      <c r="X30" s="25">
        <f>IF(COUNT(T30:W30)=0,"",SUM(T30:W30))</f>
        <v/>
      </c>
      <c r="Y30" s="28">
        <f>IF(OR(X30="",X30=0),"",(U30+V30)/X30)</f>
        <v/>
      </c>
      <c r="Z30" s="17" t="n"/>
      <c r="AA30" s="17" t="n"/>
      <c r="AB30" s="17" t="n"/>
      <c r="AC30" s="17" t="n"/>
      <c r="AD30" s="25">
        <f>IF(COUNT(Z30:AC30)=0,"",SUM(Z30:AC30))</f>
        <v/>
      </c>
      <c r="AE30" s="28">
        <f>IF(OR(AD30="",AD30=0),"",(AA30+AB30)/AD30)</f>
        <v/>
      </c>
      <c r="AF30" s="29">
        <f>IF(OR(G30="",Y30=""),"",Y30-G30)</f>
        <v/>
      </c>
    </row>
    <row r="31">
      <c r="A31" s="16" t="n"/>
      <c r="B31" s="17" t="n"/>
      <c r="C31" s="17" t="n"/>
      <c r="D31" s="17" t="n"/>
      <c r="E31" s="17" t="n"/>
      <c r="F31" s="25">
        <f>IF(COUNT(B31:E31)=0,"",SUM(B31:E31))</f>
        <v/>
      </c>
      <c r="G31" s="28">
        <f>IF(OR(F31="",F31=0),"",(C31+D31)/F31)</f>
        <v/>
      </c>
      <c r="H31" s="17" t="n"/>
      <c r="I31" s="17" t="n"/>
      <c r="J31" s="17" t="n"/>
      <c r="K31" s="17" t="n"/>
      <c r="L31" s="25">
        <f>IF(COUNT(H31:K31)=0,"",SUM(H31:K31))</f>
        <v/>
      </c>
      <c r="M31" s="28">
        <f>IF(OR(L31="",L31=0),"",(I31+J31)/L31)</f>
        <v/>
      </c>
      <c r="N31" s="17" t="n"/>
      <c r="O31" s="17" t="n"/>
      <c r="P31" s="17" t="n"/>
      <c r="Q31" s="17" t="n"/>
      <c r="R31" s="25">
        <f>IF(COUNT(N31:Q31)=0,"",SUM(N31:Q31))</f>
        <v/>
      </c>
      <c r="S31" s="28">
        <f>IF(OR(R31="",R31=0),"",(O31+P31)/R31)</f>
        <v/>
      </c>
      <c r="T31" s="17" t="n"/>
      <c r="U31" s="17" t="n"/>
      <c r="V31" s="17" t="n"/>
      <c r="W31" s="17" t="n"/>
      <c r="X31" s="25">
        <f>IF(COUNT(T31:W31)=0,"",SUM(T31:W31))</f>
        <v/>
      </c>
      <c r="Y31" s="28">
        <f>IF(OR(X31="",X31=0),"",(U31+V31)/X31)</f>
        <v/>
      </c>
      <c r="Z31" s="17" t="n"/>
      <c r="AA31" s="17" t="n"/>
      <c r="AB31" s="17" t="n"/>
      <c r="AC31" s="17" t="n"/>
      <c r="AD31" s="25">
        <f>IF(COUNT(Z31:AC31)=0,"",SUM(Z31:AC31))</f>
        <v/>
      </c>
      <c r="AE31" s="28">
        <f>IF(OR(AD31="",AD31=0),"",(AA31+AB31)/AD31)</f>
        <v/>
      </c>
      <c r="AF31" s="29">
        <f>IF(OR(G31="",Y31=""),"",Y31-G31)</f>
        <v/>
      </c>
    </row>
    <row r="32">
      <c r="A32" s="16" t="n"/>
      <c r="B32" s="17" t="n"/>
      <c r="C32" s="17" t="n"/>
      <c r="D32" s="17" t="n"/>
      <c r="E32" s="17" t="n"/>
      <c r="F32" s="25">
        <f>IF(COUNT(B32:E32)=0,"",SUM(B32:E32))</f>
        <v/>
      </c>
      <c r="G32" s="28">
        <f>IF(OR(F32="",F32=0),"",(C32+D32)/F32)</f>
        <v/>
      </c>
      <c r="H32" s="17" t="n"/>
      <c r="I32" s="17" t="n"/>
      <c r="J32" s="17" t="n"/>
      <c r="K32" s="17" t="n"/>
      <c r="L32" s="25">
        <f>IF(COUNT(H32:K32)=0,"",SUM(H32:K32))</f>
        <v/>
      </c>
      <c r="M32" s="28">
        <f>IF(OR(L32="",L32=0),"",(I32+J32)/L32)</f>
        <v/>
      </c>
      <c r="N32" s="17" t="n"/>
      <c r="O32" s="17" t="n"/>
      <c r="P32" s="17" t="n"/>
      <c r="Q32" s="17" t="n"/>
      <c r="R32" s="25">
        <f>IF(COUNT(N32:Q32)=0,"",SUM(N32:Q32))</f>
        <v/>
      </c>
      <c r="S32" s="28">
        <f>IF(OR(R32="",R32=0),"",(O32+P32)/R32)</f>
        <v/>
      </c>
      <c r="T32" s="17" t="n"/>
      <c r="U32" s="17" t="n"/>
      <c r="V32" s="17" t="n"/>
      <c r="W32" s="17" t="n"/>
      <c r="X32" s="25">
        <f>IF(COUNT(T32:W32)=0,"",SUM(T32:W32))</f>
        <v/>
      </c>
      <c r="Y32" s="28">
        <f>IF(OR(X32="",X32=0),"",(U32+V32)/X32)</f>
        <v/>
      </c>
      <c r="Z32" s="17" t="n"/>
      <c r="AA32" s="17" t="n"/>
      <c r="AB32" s="17" t="n"/>
      <c r="AC32" s="17" t="n"/>
      <c r="AD32" s="25">
        <f>IF(COUNT(Z32:AC32)=0,"",SUM(Z32:AC32))</f>
        <v/>
      </c>
      <c r="AE32" s="28">
        <f>IF(OR(AD32="",AD32=0),"",(AA32+AB32)/AD32)</f>
        <v/>
      </c>
      <c r="AF32" s="29">
        <f>IF(OR(G32="",Y32=""),"",Y32-G32)</f>
        <v/>
      </c>
    </row>
    <row r="33">
      <c r="A33" s="16" t="n"/>
      <c r="B33" s="17" t="n"/>
      <c r="C33" s="17" t="n"/>
      <c r="D33" s="17" t="n"/>
      <c r="E33" s="17" t="n"/>
      <c r="F33" s="25">
        <f>IF(COUNT(B33:E33)=0,"",SUM(B33:E33))</f>
        <v/>
      </c>
      <c r="G33" s="28">
        <f>IF(OR(F33="",F33=0),"",(C33+D33)/F33)</f>
        <v/>
      </c>
      <c r="H33" s="17" t="n"/>
      <c r="I33" s="17" t="n"/>
      <c r="J33" s="17" t="n"/>
      <c r="K33" s="17" t="n"/>
      <c r="L33" s="25">
        <f>IF(COUNT(H33:K33)=0,"",SUM(H33:K33))</f>
        <v/>
      </c>
      <c r="M33" s="28">
        <f>IF(OR(L33="",L33=0),"",(I33+J33)/L33)</f>
        <v/>
      </c>
      <c r="N33" s="17" t="n"/>
      <c r="O33" s="17" t="n"/>
      <c r="P33" s="17" t="n"/>
      <c r="Q33" s="17" t="n"/>
      <c r="R33" s="25">
        <f>IF(COUNT(N33:Q33)=0,"",SUM(N33:Q33))</f>
        <v/>
      </c>
      <c r="S33" s="28">
        <f>IF(OR(R33="",R33=0),"",(O33+P33)/R33)</f>
        <v/>
      </c>
      <c r="T33" s="17" t="n"/>
      <c r="U33" s="17" t="n"/>
      <c r="V33" s="17" t="n"/>
      <c r="W33" s="17" t="n"/>
      <c r="X33" s="25">
        <f>IF(COUNT(T33:W33)=0,"",SUM(T33:W33))</f>
        <v/>
      </c>
      <c r="Y33" s="28">
        <f>IF(OR(X33="",X33=0),"",(U33+V33)/X33)</f>
        <v/>
      </c>
      <c r="Z33" s="17" t="n"/>
      <c r="AA33" s="17" t="n"/>
      <c r="AB33" s="17" t="n"/>
      <c r="AC33" s="17" t="n"/>
      <c r="AD33" s="25">
        <f>IF(COUNT(Z33:AC33)=0,"",SUM(Z33:AC33))</f>
        <v/>
      </c>
      <c r="AE33" s="28">
        <f>IF(OR(AD33="",AD33=0),"",(AA33+AB33)/AD33)</f>
        <v/>
      </c>
      <c r="AF33" s="29">
        <f>IF(OR(G33="",Y33=""),"",Y33-G33)</f>
        <v/>
      </c>
    </row>
    <row r="34">
      <c r="A34" s="16" t="n"/>
      <c r="B34" s="17" t="n"/>
      <c r="C34" s="17" t="n"/>
      <c r="D34" s="17" t="n"/>
      <c r="E34" s="17" t="n"/>
      <c r="F34" s="25">
        <f>IF(COUNT(B34:E34)=0,"",SUM(B34:E34))</f>
        <v/>
      </c>
      <c r="G34" s="28">
        <f>IF(OR(F34="",F34=0),"",(C34+D34)/F34)</f>
        <v/>
      </c>
      <c r="H34" s="17" t="n"/>
      <c r="I34" s="17" t="n"/>
      <c r="J34" s="17" t="n"/>
      <c r="K34" s="17" t="n"/>
      <c r="L34" s="25">
        <f>IF(COUNT(H34:K34)=0,"",SUM(H34:K34))</f>
        <v/>
      </c>
      <c r="M34" s="28">
        <f>IF(OR(L34="",L34=0),"",(I34+J34)/L34)</f>
        <v/>
      </c>
      <c r="N34" s="17" t="n"/>
      <c r="O34" s="17" t="n"/>
      <c r="P34" s="17" t="n"/>
      <c r="Q34" s="17" t="n"/>
      <c r="R34" s="25">
        <f>IF(COUNT(N34:Q34)=0,"",SUM(N34:Q34))</f>
        <v/>
      </c>
      <c r="S34" s="28">
        <f>IF(OR(R34="",R34=0),"",(O34+P34)/R34)</f>
        <v/>
      </c>
      <c r="T34" s="17" t="n"/>
      <c r="U34" s="17" t="n"/>
      <c r="V34" s="17" t="n"/>
      <c r="W34" s="17" t="n"/>
      <c r="X34" s="25">
        <f>IF(COUNT(T34:W34)=0,"",SUM(T34:W34))</f>
        <v/>
      </c>
      <c r="Y34" s="28">
        <f>IF(OR(X34="",X34=0),"",(U34+V34)/X34)</f>
        <v/>
      </c>
      <c r="Z34" s="17" t="n"/>
      <c r="AA34" s="17" t="n"/>
      <c r="AB34" s="17" t="n"/>
      <c r="AC34" s="17" t="n"/>
      <c r="AD34" s="25">
        <f>IF(COUNT(Z34:AC34)=0,"",SUM(Z34:AC34))</f>
        <v/>
      </c>
      <c r="AE34" s="28">
        <f>IF(OR(AD34="",AD34=0),"",(AA34+AB34)/AD34)</f>
        <v/>
      </c>
      <c r="AF34" s="29">
        <f>IF(OR(G34="",Y34=""),"",Y34-G34)</f>
        <v/>
      </c>
    </row>
    <row r="37">
      <c r="A37" s="7" t="inlineStr">
        <is>
          <t>대화별 평균</t>
        </is>
      </c>
      <c r="B37" s="7" t="inlineStr">
        <is>
          <t>① 테아</t>
        </is>
      </c>
      <c r="C37" s="7" t="inlineStr">
        <is>
          <t>② 세이두</t>
        </is>
      </c>
      <c r="D37" s="7" t="inlineStr">
        <is>
          <t>③ 민</t>
        </is>
      </c>
      <c r="E37" s="7" t="inlineStr">
        <is>
          <t>④ 리마</t>
        </is>
      </c>
      <c r="F37" s="7" t="inlineStr">
        <is>
          <t>⑤ 수현</t>
        </is>
      </c>
      <c r="G37" s="7" t="inlineStr">
        <is>
          <t>N</t>
        </is>
      </c>
    </row>
    <row r="38">
      <c r="A38" s="18" t="inlineStr">
        <is>
          <t>F 사실 (개)</t>
        </is>
      </c>
      <c r="B38" s="30">
        <f>IF(COUNT($B$5:$B$34)=0,"",AVERAGE($B$5:$B$34))</f>
        <v/>
      </c>
      <c r="C38" s="30">
        <f>IF(COUNT($H$5:$H$34)=0,"",AVERAGE($H$5:$H$34))</f>
        <v/>
      </c>
      <c r="D38" s="30">
        <f>IF(COUNT($N$5:$N$34)=0,"",AVERAGE($N$5:$N$34))</f>
        <v/>
      </c>
      <c r="E38" s="30">
        <f>IF(COUNT($T$5:$T$34)=0,"",AVERAGE($T$5:$T$34))</f>
        <v/>
      </c>
      <c r="F38" s="30">
        <f>IF(COUNT($Z$5:$Z$34)=0,"",AVERAGE($Z$5:$Z$34))</f>
        <v/>
      </c>
      <c r="G38" s="17">
        <f>COUNT($F$5:$F$34)</f>
        <v/>
      </c>
    </row>
    <row r="39">
      <c r="A39" s="18" t="inlineStr">
        <is>
          <t>E 마음·이유 (개)</t>
        </is>
      </c>
      <c r="B39" s="30">
        <f>IF(COUNT($C$5:$C$34)=0,"",AVERAGE($C$5:$C$34))</f>
        <v/>
      </c>
      <c r="C39" s="30">
        <f>IF(COUNT($I$5:$I$34)=0,"",AVERAGE($I$5:$I$34))</f>
        <v/>
      </c>
      <c r="D39" s="30">
        <f>IF(COUNT($O$5:$O$34)=0,"",AVERAGE($O$5:$O$34))</f>
        <v/>
      </c>
      <c r="E39" s="30">
        <f>IF(COUNT($U$5:$U$34)=0,"",AVERAGE($U$5:$U$34))</f>
        <v/>
      </c>
      <c r="F39" s="30">
        <f>IF(COUNT($AA$5:$AA$34)=0,"",AVERAGE($AA$5:$AA$34))</f>
        <v/>
      </c>
      <c r="G39" s="17">
        <f>COUNT($F$5:$F$34)</f>
        <v/>
      </c>
    </row>
    <row r="40">
      <c r="A40" s="18" t="inlineStr">
        <is>
          <t>S 해결 (개)</t>
        </is>
      </c>
      <c r="B40" s="30">
        <f>IF(COUNT($D$5:$D$34)=0,"",AVERAGE($D$5:$D$34))</f>
        <v/>
      </c>
      <c r="C40" s="30">
        <f>IF(COUNT($J$5:$J$34)=0,"",AVERAGE($J$5:$J$34))</f>
        <v/>
      </c>
      <c r="D40" s="30">
        <f>IF(COUNT($P$5:$P$34)=0,"",AVERAGE($P$5:$P$34))</f>
        <v/>
      </c>
      <c r="E40" s="30">
        <f>IF(COUNT($V$5:$V$34)=0,"",AVERAGE($V$5:$V$34))</f>
        <v/>
      </c>
      <c r="F40" s="30">
        <f>IF(COUNT($AB$5:$AB$34)=0,"",AVERAGE($AB$5:$AB$34))</f>
        <v/>
      </c>
      <c r="G40" s="17">
        <f>COUNT($F$5:$F$34)</f>
        <v/>
      </c>
    </row>
    <row r="41">
      <c r="A41" s="18" t="inlineStr">
        <is>
          <t>O 기타 (개)</t>
        </is>
      </c>
      <c r="B41" s="30">
        <f>IF(COUNT($E$5:$E$34)=0,"",AVERAGE($E$5:$E$34))</f>
        <v/>
      </c>
      <c r="C41" s="30">
        <f>IF(COUNT($K$5:$K$34)=0,"",AVERAGE($K$5:$K$34))</f>
        <v/>
      </c>
      <c r="D41" s="30">
        <f>IF(COUNT($Q$5:$Q$34)=0,"",AVERAGE($Q$5:$Q$34))</f>
        <v/>
      </c>
      <c r="E41" s="30">
        <f>IF(COUNT($W$5:$W$34)=0,"",AVERAGE($W$5:$W$34))</f>
        <v/>
      </c>
      <c r="F41" s="30">
        <f>IF(COUNT($AC$5:$AC$34)=0,"",AVERAGE($AC$5:$AC$34))</f>
        <v/>
      </c>
      <c r="G41" s="17">
        <f>COUNT($F$5:$F$34)</f>
        <v/>
      </c>
    </row>
    <row r="42">
      <c r="A42" s="18" t="inlineStr">
        <is>
          <t>질문 합계 (개)</t>
        </is>
      </c>
      <c r="B42" s="30">
        <f>IF(COUNT($F$5:$F$34)=0,"",AVERAGE($F$5:$F$34))</f>
        <v/>
      </c>
      <c r="C42" s="30">
        <f>IF(COUNT($L$5:$L$34)=0,"",AVERAGE($L$5:$L$34))</f>
        <v/>
      </c>
      <c r="D42" s="30">
        <f>IF(COUNT($R$5:$R$34)=0,"",AVERAGE($R$5:$R$34))</f>
        <v/>
      </c>
      <c r="E42" s="30">
        <f>IF(COUNT($X$5:$X$34)=0,"",AVERAGE($X$5:$X$34))</f>
        <v/>
      </c>
      <c r="F42" s="30">
        <f>IF(COUNT($AD$5:$AD$34)=0,"",AVERAGE($AD$5:$AD$34))</f>
        <v/>
      </c>
      <c r="G42" s="17">
        <f>COUNT($F$5:$F$34)</f>
        <v/>
      </c>
    </row>
    <row r="43">
      <c r="A43" s="18" t="inlineStr">
        <is>
          <t>E+S 비율</t>
        </is>
      </c>
      <c r="B43" s="31">
        <f>IF(COUNT($G$5:$G$34)=0,"",AVERAGE($G$5:$G$34))</f>
        <v/>
      </c>
      <c r="C43" s="31">
        <f>IF(COUNT($M$5:$M$34)=0,"",AVERAGE($M$5:$M$34))</f>
        <v/>
      </c>
      <c r="D43" s="31">
        <f>IF(COUNT($S$5:$S$34)=0,"",AVERAGE($S$5:$S$34))</f>
        <v/>
      </c>
      <c r="E43" s="31">
        <f>IF(COUNT($Y$5:$Y$34)=0,"",AVERAGE($Y$5:$Y$34))</f>
        <v/>
      </c>
      <c r="F43" s="31">
        <f>IF(COUNT($AE$5:$AE$34)=0,"",AVERAGE($AE$5:$AE$34))</f>
        <v/>
      </c>
      <c r="G43" s="17">
        <f>COUNT($F$5:$F$34)</f>
        <v/>
      </c>
    </row>
    <row r="45">
      <c r="A45" s="18" t="inlineStr">
        <is>
          <t>E+S 비율 ① vs ④ 대응 t 검정 p</t>
        </is>
      </c>
      <c r="B45" s="20">
        <f>IFERROR(_xlfn.T.TEST($G$5:$G$34,$Y$5:$Y$34,2,1),"")</f>
        <v/>
      </c>
      <c r="C45" s="10" t="inlineStr">
        <is>
          <t>평균 변화</t>
        </is>
      </c>
      <c r="D45" s="32">
        <f>IF(COUNT($AF$5:$AF$34)=0,"",AVERAGE($AF$5:$AF$34))</f>
        <v/>
      </c>
    </row>
    <row r="46">
      <c r="A46" s="21" t="inlineStr">
        <is>
          <t>※ E(마음·이유)·S(해결) 질문 비율이 ①→④로 늘면 관점 공감·해결 탐색 질문이 늘었다는 뜻. 루브릭추이의 관점 공감·해결 방안 점수와 나란히 봅니다. ⑤ 수현은 해결 주체 회의라 S 비율이 높은 것이 정상입니다.</t>
        </is>
      </c>
    </row>
  </sheetData>
  <mergeCells count="7">
    <mergeCell ref="B3:G3"/>
    <mergeCell ref="AF3"/>
    <mergeCell ref="A3:A4"/>
    <mergeCell ref="T3:Y3"/>
    <mergeCell ref="Z3:AE3"/>
    <mergeCell ref="N3:S3"/>
    <mergeCell ref="H3:M3"/>
  </mergeCells>
  <dataValidations count="1">
    <dataValidation sqref="B5:E5 B6:E6 B7:E7 B8:E8 B9:E9 B10:E10 B11:E11 B12:E12 B13:E13 B14:E14 B15:E15 B16:E16 B17:E17 B18:E18 B19:E19 B20:E20 B21:E21 B22:E22 B23:E23 B24:E24 B25:E25 B26:E26 B27:E27 B28:E28 B29:E29 B30:E30 B31:E31 B32:E32 B33:E33 B34:E34 H5:K5 H6:K6 H7:K7 H8:K8 H9:K9 H10:K10 H11:K11 H12:K12 H13:K13 H14:K14 H15:K15 H16:K16 H17:K17 H18:K18 H19:K19 H20:K20 H21:K21 H22:K22 H23:K23 H24:K24 H25:K25 H26:K26 H27:K27 H28:K28 H29:K29 H30:K30 H31:K31 H32:K32 H33:K33 H34:K34 N5:Q5 N6:Q6 N7:Q7 N8:Q8 N9:Q9 N10:Q10 N11:Q11 N12:Q12 N13:Q13 N14:Q14 N15:Q15 N16:Q16 N17:Q17 N18:Q18 N19:Q19 N20:Q20 N21:Q21 N22:Q22 N23:Q23 N24:Q24 N25:Q25 N26:Q26 N27:Q27 N28:Q28 N29:Q29 N30:Q30 N31:Q31 N32:Q32 N33:Q33 N34:Q34 T5:W5 T6:W6 T7:W7 T8:W8 T9:W9 T10:W10 T11:W11 T12:W12 T13:W13 T14:W14 T15:W15 T16:W16 T17:W17 T18:W18 T19:W19 T20:W20 T21:W21 T22:W22 T23:W23 T24:W24 T25:W25 T26:W26 T27:W27 T28:W28 T29:W29 T30:W30 T31:W31 T32:W32 T33:W33 T34:W34 Z5:AC5 Z6:AC6 Z7:AC7 Z8:AC8 Z9:AC9 Z10:AC10 Z11:AC11 Z12:AC12 Z13:AC13 Z14:AC14 Z15:AC15 Z16:AC16 Z17:AC17 Z18:AC18 Z19:AC19 Z20:AC20 Z21:AC21 Z22:AC22 Z23:AC23 Z24:AC24 Z25:AC25 Z26:AC26 Z27:AC27 Z28:AC28 Z29:AC29 Z30:AC30 Z31:AC31 Z32:AC32 Z33:AC33 Z34:AC34" showDropDown="0" showInputMessage="0" showErrorMessage="1" allowBlank="1" errorTitle="입력 오류" error="0 이상의 정수를 입력하세요." type="whole" operator="between">
      <formula1>0</formula1>
      <formula2>99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9" max="49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28" customWidth="1" min="87" max="87"/>
    <col width="28" customWidth="1" min="88" max="88"/>
    <col width="28" customWidth="1" min="89" max="89"/>
    <col width="28" customWidth="1" min="90" max="90"/>
    <col width="7.5" customWidth="1" min="91" max="91"/>
  </cols>
  <sheetData>
    <row r="1">
      <c r="A1" s="1" t="inlineStr">
        <is>
          <t>폼붙여넣기(회고) — 구글폼 응답 시트를 그대로 붙여 넣으면 오른쪽에 회고입력 형식으로 바뀝니다</t>
        </is>
      </c>
      <c r="AW1" s="21" t="inlineStr">
        <is>
          <t>척도 기준(수정 금지)</t>
        </is>
      </c>
    </row>
    <row r="2">
      <c r="A2" s="6" t="inlineStr">
        <is>
          <t>① 구글 응답 시트에서 전체 선택(Ctrl+A) → 복사 → 이 시트의 A4 칸을 누르고 붙여넣기(머리글이 4행, 응답이 5행부터). ② 오른쪽 노란 머리글 블록(별칭 ~ D 수준)이 자동으로 채워지면 그 블록을 복사해 회고입력 시트 4행에 '값만 붙여넣기'(Ctrl+Shift+V). ③ D 수준은 코딩 뒤 직접 적습니다. 3행의 정답·척도 기준은 고치지 마세요.  [붙여넣은 뒤 4행 머리글 순서: 타임스탬프 | 모둠 | 별칭 | A1 | A2 | A3 | A4 | A5 | A6 | A7 | A8 | A9 | A10 | B1 전 | B2 전 | B3 전 | B4 전 | B5 전 | B6 전 | B7 전 | B8 전 | B9 전 | B1 지금 | B2 지금 | B3 지금 | B4 지금 | B5 지금 | B6 지금 | B7 지금 | B8 지금 | B9 지금 | C1 전 | C2 전 | C3 전 | C4 전 | C5 전 | C6 전 | C1 지금 | C2 지금 | C3 지금 | C4 지금 | C5 지금 | C6 지금 | D① | D② | D③ | D④]</t>
        </is>
      </c>
      <c r="AW2" s="26" t="inlineStr">
        <is>
          <t>① 전혀 아니다</t>
        </is>
      </c>
    </row>
    <row r="3">
      <c r="A3" s="21" t="inlineStr">
        <is>
          <t>3행: 정답·척도 기준 (수정 금지) →</t>
        </is>
      </c>
      <c r="D3" s="26" t="inlineStr">
        <is>
          <t>① 지구가 더워져서</t>
        </is>
      </c>
      <c r="E3" s="26" t="inlineStr">
        <is>
          <t>④ 눈이 많이 온다</t>
        </is>
      </c>
      <c r="F3" s="26" t="inlineStr">
        <is>
          <t>O</t>
        </is>
      </c>
      <c r="G3" s="26" t="inlineStr">
        <is>
          <t>② 물 모으는 시설과 가뭄에 강한 작물</t>
        </is>
      </c>
      <c r="H3" s="26" t="inlineStr">
        <is>
          <t>O</t>
        </is>
      </c>
      <c r="I3" s="26" t="inlineStr">
        <is>
          <t>① 안전하게 보호받고 배우는 것</t>
        </is>
      </c>
      <c r="J3" s="26" t="inlineStr">
        <is>
          <t>② 홍수로 집과 길이 물에 잠김</t>
        </is>
      </c>
      <c r="K3" s="26" t="inlineStr">
        <is>
          <t>O</t>
        </is>
      </c>
      <c r="L3" s="26" t="inlineStr">
        <is>
          <t>① 국제기구</t>
        </is>
      </c>
      <c r="M3" s="26" t="inlineStr">
        <is>
          <t>X</t>
        </is>
      </c>
      <c r="AV3" s="17" t="n"/>
      <c r="AW3" s="26" t="inlineStr">
        <is>
          <t>② 아니다</t>
        </is>
      </c>
      <c r="AY3" s="21" t="inlineStr">
        <is>
          <t>▶ 아래 블록(노란 머리글)을 복사해 회고입력 시트에 값만 붙여넣기</t>
        </is>
      </c>
    </row>
    <row r="4" ht="30" customHeight="1">
      <c r="A4" s="17" t="n"/>
      <c r="AW4" s="26" t="inlineStr">
        <is>
          <t>③ 보통이다</t>
        </is>
      </c>
      <c r="AY4" s="33" t="inlineStr">
        <is>
          <t>별칭</t>
        </is>
      </c>
      <c r="AZ4" s="33" t="inlineStr">
        <is>
          <t>A 점수
(0~10)</t>
        </is>
      </c>
      <c r="BA4" s="33" t="inlineStr">
        <is>
          <t>B1 전</t>
        </is>
      </c>
      <c r="BB4" s="33" t="inlineStr">
        <is>
          <t>B2 전</t>
        </is>
      </c>
      <c r="BC4" s="33" t="inlineStr">
        <is>
          <t>B3 전</t>
        </is>
      </c>
      <c r="BD4" s="33" t="inlineStr">
        <is>
          <t>B4 전</t>
        </is>
      </c>
      <c r="BE4" s="33" t="inlineStr">
        <is>
          <t>B5 전</t>
        </is>
      </c>
      <c r="BF4" s="33" t="inlineStr">
        <is>
          <t>B6 전</t>
        </is>
      </c>
      <c r="BG4" s="33" t="inlineStr">
        <is>
          <t>B7 전</t>
        </is>
      </c>
      <c r="BH4" s="33" t="inlineStr">
        <is>
          <t>B8 전</t>
        </is>
      </c>
      <c r="BI4" s="33" t="inlineStr">
        <is>
          <t>B9 전</t>
        </is>
      </c>
      <c r="BJ4" s="33" t="inlineStr">
        <is>
          <t>B1 지금</t>
        </is>
      </c>
      <c r="BK4" s="33" t="inlineStr">
        <is>
          <t>B2 지금</t>
        </is>
      </c>
      <c r="BL4" s="33" t="inlineStr">
        <is>
          <t>B3 지금</t>
        </is>
      </c>
      <c r="BM4" s="33" t="inlineStr">
        <is>
          <t>B4 지금</t>
        </is>
      </c>
      <c r="BN4" s="33" t="inlineStr">
        <is>
          <t>B5 지금</t>
        </is>
      </c>
      <c r="BO4" s="33" t="inlineStr">
        <is>
          <t>B6 지금</t>
        </is>
      </c>
      <c r="BP4" s="33" t="inlineStr">
        <is>
          <t>B7 지금</t>
        </is>
      </c>
      <c r="BQ4" s="33" t="inlineStr">
        <is>
          <t>B8 지금</t>
        </is>
      </c>
      <c r="BR4" s="33" t="inlineStr">
        <is>
          <t>B9 지금</t>
        </is>
      </c>
      <c r="BS4" s="33" t="inlineStr">
        <is>
          <t>C1 전</t>
        </is>
      </c>
      <c r="BT4" s="33" t="inlineStr">
        <is>
          <t>C2 전</t>
        </is>
      </c>
      <c r="BU4" s="33" t="inlineStr">
        <is>
          <t>C3 전</t>
        </is>
      </c>
      <c r="BV4" s="33" t="inlineStr">
        <is>
          <t>C4 전</t>
        </is>
      </c>
      <c r="BW4" s="33" t="inlineStr">
        <is>
          <t>C5 전</t>
        </is>
      </c>
      <c r="BX4" s="33" t="inlineStr">
        <is>
          <t>C6 전</t>
        </is>
      </c>
      <c r="BY4" s="33" t="inlineStr">
        <is>
          <t>C1 지금</t>
        </is>
      </c>
      <c r="BZ4" s="33" t="inlineStr">
        <is>
          <t>C2 지금</t>
        </is>
      </c>
      <c r="CA4" s="33" t="inlineStr">
        <is>
          <t>C3 지금</t>
        </is>
      </c>
      <c r="CB4" s="33" t="inlineStr">
        <is>
          <t>C4 지금</t>
        </is>
      </c>
      <c r="CC4" s="33" t="inlineStr">
        <is>
          <t>C5 지금</t>
        </is>
      </c>
      <c r="CD4" s="33" t="inlineStr">
        <is>
          <t>C6 지금</t>
        </is>
      </c>
      <c r="CE4" s="10" t="inlineStr">
        <is>
          <t>D①수준</t>
        </is>
      </c>
      <c r="CF4" s="10" t="inlineStr">
        <is>
          <t>D②수준</t>
        </is>
      </c>
      <c r="CG4" s="10" t="inlineStr">
        <is>
          <t>D③수준</t>
        </is>
      </c>
      <c r="CH4" s="10" t="inlineStr">
        <is>
          <t>D④수준</t>
        </is>
      </c>
      <c r="CI4" s="33" t="inlineStr">
        <is>
          <t>D① 원문</t>
        </is>
      </c>
      <c r="CJ4" s="33" t="inlineStr">
        <is>
          <t>D② 원문</t>
        </is>
      </c>
      <c r="CK4" s="33" t="inlineStr">
        <is>
          <t>D③ 원문</t>
        </is>
      </c>
      <c r="CL4" s="33" t="inlineStr">
        <is>
          <t>D④ 원문</t>
        </is>
      </c>
      <c r="CM4" s="33" t="inlineStr">
        <is>
          <t>중복 확인</t>
        </is>
      </c>
    </row>
    <row r="5">
      <c r="AW5" s="26" t="inlineStr">
        <is>
          <t>④ 그렇다</t>
        </is>
      </c>
      <c r="AY5" s="16">
        <f>IF(AND(B5="",C5=""),"",TRIM(B5)&amp;" "&amp;TRIM(C5))</f>
        <v/>
      </c>
      <c r="AZ5" s="17">
        <f>IF(AND(B5="",C5=""),"",SUMPRODUCT(--(D5:M5=$D$3:$M$3)))</f>
        <v/>
      </c>
      <c r="BA5" s="17">
        <f>IF(N5="","",MATCH(N5,$AW$2:$AW$6,0))</f>
        <v/>
      </c>
      <c r="BB5" s="17">
        <f>IF(O5="","",MATCH(O5,$AW$2:$AW$6,0))</f>
        <v/>
      </c>
      <c r="BC5" s="17">
        <f>IF(P5="","",MATCH(P5,$AW$2:$AW$6,0))</f>
        <v/>
      </c>
      <c r="BD5" s="17">
        <f>IF(Q5="","",MATCH(Q5,$AW$2:$AW$6,0))</f>
        <v/>
      </c>
      <c r="BE5" s="17">
        <f>IF(R5="","",MATCH(R5,$AW$2:$AW$6,0))</f>
        <v/>
      </c>
      <c r="BF5" s="17">
        <f>IF(S5="","",MATCH(S5,$AW$2:$AW$6,0))</f>
        <v/>
      </c>
      <c r="BG5" s="17">
        <f>IF(T5="","",MATCH(T5,$AW$2:$AW$6,0))</f>
        <v/>
      </c>
      <c r="BH5" s="17">
        <f>IF(U5="","",MATCH(U5,$AW$2:$AW$6,0))</f>
        <v/>
      </c>
      <c r="BI5" s="17">
        <f>IF(V5="","",MATCH(V5,$AW$2:$AW$6,0))</f>
        <v/>
      </c>
      <c r="BJ5" s="17">
        <f>IF(W5="","",MATCH(W5,$AW$2:$AW$6,0))</f>
        <v/>
      </c>
      <c r="BK5" s="17">
        <f>IF(X5="","",MATCH(X5,$AW$2:$AW$6,0))</f>
        <v/>
      </c>
      <c r="BL5" s="17">
        <f>IF(Y5="","",MATCH(Y5,$AW$2:$AW$6,0))</f>
        <v/>
      </c>
      <c r="BM5" s="17">
        <f>IF(Z5="","",MATCH(Z5,$AW$2:$AW$6,0))</f>
        <v/>
      </c>
      <c r="BN5" s="17">
        <f>IF(AA5="","",MATCH(AA5,$AW$2:$AW$6,0))</f>
        <v/>
      </c>
      <c r="BO5" s="17">
        <f>IF(AB5="","",MATCH(AB5,$AW$2:$AW$6,0))</f>
        <v/>
      </c>
      <c r="BP5" s="17">
        <f>IF(AC5="","",MATCH(AC5,$AW$2:$AW$6,0))</f>
        <v/>
      </c>
      <c r="BQ5" s="17">
        <f>IF(AD5="","",MATCH(AD5,$AW$2:$AW$6,0))</f>
        <v/>
      </c>
      <c r="BR5" s="17">
        <f>IF(AE5="","",MATCH(AE5,$AW$2:$AW$6,0))</f>
        <v/>
      </c>
      <c r="BS5" s="17">
        <f>IF(AF5="","",MATCH(AF5,$AW$2:$AW$6,0))</f>
        <v/>
      </c>
      <c r="BT5" s="17">
        <f>IF(AG5="","",MATCH(AG5,$AW$2:$AW$6,0))</f>
        <v/>
      </c>
      <c r="BU5" s="17">
        <f>IF(AH5="","",MATCH(AH5,$AW$2:$AW$6,0))</f>
        <v/>
      </c>
      <c r="BV5" s="17">
        <f>IF(AI5="","",MATCH(AI5,$AW$2:$AW$6,0))</f>
        <v/>
      </c>
      <c r="BW5" s="17">
        <f>IF(AJ5="","",MATCH(AJ5,$AW$2:$AW$6,0))</f>
        <v/>
      </c>
      <c r="BX5" s="17">
        <f>IF(AK5="","",MATCH(AK5,$AW$2:$AW$6,0))</f>
        <v/>
      </c>
      <c r="BY5" s="17">
        <f>IF(AL5="","",MATCH(AL5,$AW$2:$AW$6,0))</f>
        <v/>
      </c>
      <c r="BZ5" s="17">
        <f>IF(AM5="","",MATCH(AM5,$AW$2:$AW$6,0))</f>
        <v/>
      </c>
      <c r="CA5" s="17">
        <f>IF(AN5="","",MATCH(AN5,$AW$2:$AW$6,0))</f>
        <v/>
      </c>
      <c r="CB5" s="17">
        <f>IF(AO5="","",MATCH(AO5,$AW$2:$AW$6,0))</f>
        <v/>
      </c>
      <c r="CC5" s="17">
        <f>IF(AP5="","",MATCH(AP5,$AW$2:$AW$6,0))</f>
        <v/>
      </c>
      <c r="CD5" s="17">
        <f>IF(AQ5="","",MATCH(AQ5,$AW$2:$AW$6,0))</f>
        <v/>
      </c>
      <c r="CE5" s="34" t="n"/>
      <c r="CF5" s="34" t="n"/>
      <c r="CG5" s="34" t="n"/>
      <c r="CH5" s="34" t="n"/>
      <c r="CI5" s="16">
        <f>IF(AR5="","",AR5)</f>
        <v/>
      </c>
      <c r="CJ5" s="16">
        <f>IF(AS5="","",AS5)</f>
        <v/>
      </c>
      <c r="CK5" s="16">
        <f>IF(AT5="","",AT5)</f>
        <v/>
      </c>
      <c r="CL5" s="16">
        <f>IF(AU5="","",AU5)</f>
        <v/>
      </c>
      <c r="CM5" s="35">
        <f>IF(AY5="","",IF(COUNTIF($AY$5:$AY$64,AY5)&gt;1,"중복! 마지막 것만 남기세요",""))</f>
        <v/>
      </c>
    </row>
    <row r="6">
      <c r="AW6" s="26" t="inlineStr">
        <is>
          <t>⑤ 매우 그렇다</t>
        </is>
      </c>
      <c r="AY6" s="16">
        <f>IF(AND(B6="",C6=""),"",TRIM(B6)&amp;" "&amp;TRIM(C6))</f>
        <v/>
      </c>
      <c r="AZ6" s="17">
        <f>IF(AND(B6="",C6=""),"",SUMPRODUCT(--(D6:M6=$D$3:$M$3)))</f>
        <v/>
      </c>
      <c r="BA6" s="17">
        <f>IF(N6="","",MATCH(N6,$AW$2:$AW$6,0))</f>
        <v/>
      </c>
      <c r="BB6" s="17">
        <f>IF(O6="","",MATCH(O6,$AW$2:$AW$6,0))</f>
        <v/>
      </c>
      <c r="BC6" s="17">
        <f>IF(P6="","",MATCH(P6,$AW$2:$AW$6,0))</f>
        <v/>
      </c>
      <c r="BD6" s="17">
        <f>IF(Q6="","",MATCH(Q6,$AW$2:$AW$6,0))</f>
        <v/>
      </c>
      <c r="BE6" s="17">
        <f>IF(R6="","",MATCH(R6,$AW$2:$AW$6,0))</f>
        <v/>
      </c>
      <c r="BF6" s="17">
        <f>IF(S6="","",MATCH(S6,$AW$2:$AW$6,0))</f>
        <v/>
      </c>
      <c r="BG6" s="17">
        <f>IF(T6="","",MATCH(T6,$AW$2:$AW$6,0))</f>
        <v/>
      </c>
      <c r="BH6" s="17">
        <f>IF(U6="","",MATCH(U6,$AW$2:$AW$6,0))</f>
        <v/>
      </c>
      <c r="BI6" s="17">
        <f>IF(V6="","",MATCH(V6,$AW$2:$AW$6,0))</f>
        <v/>
      </c>
      <c r="BJ6" s="17">
        <f>IF(W6="","",MATCH(W6,$AW$2:$AW$6,0))</f>
        <v/>
      </c>
      <c r="BK6" s="17">
        <f>IF(X6="","",MATCH(X6,$AW$2:$AW$6,0))</f>
        <v/>
      </c>
      <c r="BL6" s="17">
        <f>IF(Y6="","",MATCH(Y6,$AW$2:$AW$6,0))</f>
        <v/>
      </c>
      <c r="BM6" s="17">
        <f>IF(Z6="","",MATCH(Z6,$AW$2:$AW$6,0))</f>
        <v/>
      </c>
      <c r="BN6" s="17">
        <f>IF(AA6="","",MATCH(AA6,$AW$2:$AW$6,0))</f>
        <v/>
      </c>
      <c r="BO6" s="17">
        <f>IF(AB6="","",MATCH(AB6,$AW$2:$AW$6,0))</f>
        <v/>
      </c>
      <c r="BP6" s="17">
        <f>IF(AC6="","",MATCH(AC6,$AW$2:$AW$6,0))</f>
        <v/>
      </c>
      <c r="BQ6" s="17">
        <f>IF(AD6="","",MATCH(AD6,$AW$2:$AW$6,0))</f>
        <v/>
      </c>
      <c r="BR6" s="17">
        <f>IF(AE6="","",MATCH(AE6,$AW$2:$AW$6,0))</f>
        <v/>
      </c>
      <c r="BS6" s="17">
        <f>IF(AF6="","",MATCH(AF6,$AW$2:$AW$6,0))</f>
        <v/>
      </c>
      <c r="BT6" s="17">
        <f>IF(AG6="","",MATCH(AG6,$AW$2:$AW$6,0))</f>
        <v/>
      </c>
      <c r="BU6" s="17">
        <f>IF(AH6="","",MATCH(AH6,$AW$2:$AW$6,0))</f>
        <v/>
      </c>
      <c r="BV6" s="17">
        <f>IF(AI6="","",MATCH(AI6,$AW$2:$AW$6,0))</f>
        <v/>
      </c>
      <c r="BW6" s="17">
        <f>IF(AJ6="","",MATCH(AJ6,$AW$2:$AW$6,0))</f>
        <v/>
      </c>
      <c r="BX6" s="17">
        <f>IF(AK6="","",MATCH(AK6,$AW$2:$AW$6,0))</f>
        <v/>
      </c>
      <c r="BY6" s="17">
        <f>IF(AL6="","",MATCH(AL6,$AW$2:$AW$6,0))</f>
        <v/>
      </c>
      <c r="BZ6" s="17">
        <f>IF(AM6="","",MATCH(AM6,$AW$2:$AW$6,0))</f>
        <v/>
      </c>
      <c r="CA6" s="17">
        <f>IF(AN6="","",MATCH(AN6,$AW$2:$AW$6,0))</f>
        <v/>
      </c>
      <c r="CB6" s="17">
        <f>IF(AO6="","",MATCH(AO6,$AW$2:$AW$6,0))</f>
        <v/>
      </c>
      <c r="CC6" s="17">
        <f>IF(AP6="","",MATCH(AP6,$AW$2:$AW$6,0))</f>
        <v/>
      </c>
      <c r="CD6" s="17">
        <f>IF(AQ6="","",MATCH(AQ6,$AW$2:$AW$6,0))</f>
        <v/>
      </c>
      <c r="CE6" s="34" t="n"/>
      <c r="CF6" s="34" t="n"/>
      <c r="CG6" s="34" t="n"/>
      <c r="CH6" s="34" t="n"/>
      <c r="CI6" s="16">
        <f>IF(AR6="","",AR6)</f>
        <v/>
      </c>
      <c r="CJ6" s="16">
        <f>IF(AS6="","",AS6)</f>
        <v/>
      </c>
      <c r="CK6" s="16">
        <f>IF(AT6="","",AT6)</f>
        <v/>
      </c>
      <c r="CL6" s="16">
        <f>IF(AU6="","",AU6)</f>
        <v/>
      </c>
      <c r="CM6" s="35">
        <f>IF(AY6="","",IF(COUNTIF($AY$5:$AY$64,AY6)&gt;1,"중복! 마지막 것만 남기세요",""))</f>
        <v/>
      </c>
    </row>
    <row r="7">
      <c r="AY7" s="16">
        <f>IF(AND(B7="",C7=""),"",TRIM(B7)&amp;" "&amp;TRIM(C7))</f>
        <v/>
      </c>
      <c r="AZ7" s="17">
        <f>IF(AND(B7="",C7=""),"",SUMPRODUCT(--(D7:M7=$D$3:$M$3)))</f>
        <v/>
      </c>
      <c r="BA7" s="17">
        <f>IF(N7="","",MATCH(N7,$AW$2:$AW$6,0))</f>
        <v/>
      </c>
      <c r="BB7" s="17">
        <f>IF(O7="","",MATCH(O7,$AW$2:$AW$6,0))</f>
        <v/>
      </c>
      <c r="BC7" s="17">
        <f>IF(P7="","",MATCH(P7,$AW$2:$AW$6,0))</f>
        <v/>
      </c>
      <c r="BD7" s="17">
        <f>IF(Q7="","",MATCH(Q7,$AW$2:$AW$6,0))</f>
        <v/>
      </c>
      <c r="BE7" s="17">
        <f>IF(R7="","",MATCH(R7,$AW$2:$AW$6,0))</f>
        <v/>
      </c>
      <c r="BF7" s="17">
        <f>IF(S7="","",MATCH(S7,$AW$2:$AW$6,0))</f>
        <v/>
      </c>
      <c r="BG7" s="17">
        <f>IF(T7="","",MATCH(T7,$AW$2:$AW$6,0))</f>
        <v/>
      </c>
      <c r="BH7" s="17">
        <f>IF(U7="","",MATCH(U7,$AW$2:$AW$6,0))</f>
        <v/>
      </c>
      <c r="BI7" s="17">
        <f>IF(V7="","",MATCH(V7,$AW$2:$AW$6,0))</f>
        <v/>
      </c>
      <c r="BJ7" s="17">
        <f>IF(W7="","",MATCH(W7,$AW$2:$AW$6,0))</f>
        <v/>
      </c>
      <c r="BK7" s="17">
        <f>IF(X7="","",MATCH(X7,$AW$2:$AW$6,0))</f>
        <v/>
      </c>
      <c r="BL7" s="17">
        <f>IF(Y7="","",MATCH(Y7,$AW$2:$AW$6,0))</f>
        <v/>
      </c>
      <c r="BM7" s="17">
        <f>IF(Z7="","",MATCH(Z7,$AW$2:$AW$6,0))</f>
        <v/>
      </c>
      <c r="BN7" s="17">
        <f>IF(AA7="","",MATCH(AA7,$AW$2:$AW$6,0))</f>
        <v/>
      </c>
      <c r="BO7" s="17">
        <f>IF(AB7="","",MATCH(AB7,$AW$2:$AW$6,0))</f>
        <v/>
      </c>
      <c r="BP7" s="17">
        <f>IF(AC7="","",MATCH(AC7,$AW$2:$AW$6,0))</f>
        <v/>
      </c>
      <c r="BQ7" s="17">
        <f>IF(AD7="","",MATCH(AD7,$AW$2:$AW$6,0))</f>
        <v/>
      </c>
      <c r="BR7" s="17">
        <f>IF(AE7="","",MATCH(AE7,$AW$2:$AW$6,0))</f>
        <v/>
      </c>
      <c r="BS7" s="17">
        <f>IF(AF7="","",MATCH(AF7,$AW$2:$AW$6,0))</f>
        <v/>
      </c>
      <c r="BT7" s="17">
        <f>IF(AG7="","",MATCH(AG7,$AW$2:$AW$6,0))</f>
        <v/>
      </c>
      <c r="BU7" s="17">
        <f>IF(AH7="","",MATCH(AH7,$AW$2:$AW$6,0))</f>
        <v/>
      </c>
      <c r="BV7" s="17">
        <f>IF(AI7="","",MATCH(AI7,$AW$2:$AW$6,0))</f>
        <v/>
      </c>
      <c r="BW7" s="17">
        <f>IF(AJ7="","",MATCH(AJ7,$AW$2:$AW$6,0))</f>
        <v/>
      </c>
      <c r="BX7" s="17">
        <f>IF(AK7="","",MATCH(AK7,$AW$2:$AW$6,0))</f>
        <v/>
      </c>
      <c r="BY7" s="17">
        <f>IF(AL7="","",MATCH(AL7,$AW$2:$AW$6,0))</f>
        <v/>
      </c>
      <c r="BZ7" s="17">
        <f>IF(AM7="","",MATCH(AM7,$AW$2:$AW$6,0))</f>
        <v/>
      </c>
      <c r="CA7" s="17">
        <f>IF(AN7="","",MATCH(AN7,$AW$2:$AW$6,0))</f>
        <v/>
      </c>
      <c r="CB7" s="17">
        <f>IF(AO7="","",MATCH(AO7,$AW$2:$AW$6,0))</f>
        <v/>
      </c>
      <c r="CC7" s="17">
        <f>IF(AP7="","",MATCH(AP7,$AW$2:$AW$6,0))</f>
        <v/>
      </c>
      <c r="CD7" s="17">
        <f>IF(AQ7="","",MATCH(AQ7,$AW$2:$AW$6,0))</f>
        <v/>
      </c>
      <c r="CE7" s="34" t="n"/>
      <c r="CF7" s="34" t="n"/>
      <c r="CG7" s="34" t="n"/>
      <c r="CH7" s="34" t="n"/>
      <c r="CI7" s="16">
        <f>IF(AR7="","",AR7)</f>
        <v/>
      </c>
      <c r="CJ7" s="16">
        <f>IF(AS7="","",AS7)</f>
        <v/>
      </c>
      <c r="CK7" s="16">
        <f>IF(AT7="","",AT7)</f>
        <v/>
      </c>
      <c r="CL7" s="16">
        <f>IF(AU7="","",AU7)</f>
        <v/>
      </c>
      <c r="CM7" s="35">
        <f>IF(AY7="","",IF(COUNTIF($AY$5:$AY$64,AY7)&gt;1,"중복! 마지막 것만 남기세요",""))</f>
        <v/>
      </c>
    </row>
    <row r="8">
      <c r="AY8" s="16">
        <f>IF(AND(B8="",C8=""),"",TRIM(B8)&amp;" "&amp;TRIM(C8))</f>
        <v/>
      </c>
      <c r="AZ8" s="17">
        <f>IF(AND(B8="",C8=""),"",SUMPRODUCT(--(D8:M8=$D$3:$M$3)))</f>
        <v/>
      </c>
      <c r="BA8" s="17">
        <f>IF(N8="","",MATCH(N8,$AW$2:$AW$6,0))</f>
        <v/>
      </c>
      <c r="BB8" s="17">
        <f>IF(O8="","",MATCH(O8,$AW$2:$AW$6,0))</f>
        <v/>
      </c>
      <c r="BC8" s="17">
        <f>IF(P8="","",MATCH(P8,$AW$2:$AW$6,0))</f>
        <v/>
      </c>
      <c r="BD8" s="17">
        <f>IF(Q8="","",MATCH(Q8,$AW$2:$AW$6,0))</f>
        <v/>
      </c>
      <c r="BE8" s="17">
        <f>IF(R8="","",MATCH(R8,$AW$2:$AW$6,0))</f>
        <v/>
      </c>
      <c r="BF8" s="17">
        <f>IF(S8="","",MATCH(S8,$AW$2:$AW$6,0))</f>
        <v/>
      </c>
      <c r="BG8" s="17">
        <f>IF(T8="","",MATCH(T8,$AW$2:$AW$6,0))</f>
        <v/>
      </c>
      <c r="BH8" s="17">
        <f>IF(U8="","",MATCH(U8,$AW$2:$AW$6,0))</f>
        <v/>
      </c>
      <c r="BI8" s="17">
        <f>IF(V8="","",MATCH(V8,$AW$2:$AW$6,0))</f>
        <v/>
      </c>
      <c r="BJ8" s="17">
        <f>IF(W8="","",MATCH(W8,$AW$2:$AW$6,0))</f>
        <v/>
      </c>
      <c r="BK8" s="17">
        <f>IF(X8="","",MATCH(X8,$AW$2:$AW$6,0))</f>
        <v/>
      </c>
      <c r="BL8" s="17">
        <f>IF(Y8="","",MATCH(Y8,$AW$2:$AW$6,0))</f>
        <v/>
      </c>
      <c r="BM8" s="17">
        <f>IF(Z8="","",MATCH(Z8,$AW$2:$AW$6,0))</f>
        <v/>
      </c>
      <c r="BN8" s="17">
        <f>IF(AA8="","",MATCH(AA8,$AW$2:$AW$6,0))</f>
        <v/>
      </c>
      <c r="BO8" s="17">
        <f>IF(AB8="","",MATCH(AB8,$AW$2:$AW$6,0))</f>
        <v/>
      </c>
      <c r="BP8" s="17">
        <f>IF(AC8="","",MATCH(AC8,$AW$2:$AW$6,0))</f>
        <v/>
      </c>
      <c r="BQ8" s="17">
        <f>IF(AD8="","",MATCH(AD8,$AW$2:$AW$6,0))</f>
        <v/>
      </c>
      <c r="BR8" s="17">
        <f>IF(AE8="","",MATCH(AE8,$AW$2:$AW$6,0))</f>
        <v/>
      </c>
      <c r="BS8" s="17">
        <f>IF(AF8="","",MATCH(AF8,$AW$2:$AW$6,0))</f>
        <v/>
      </c>
      <c r="BT8" s="17">
        <f>IF(AG8="","",MATCH(AG8,$AW$2:$AW$6,0))</f>
        <v/>
      </c>
      <c r="BU8" s="17">
        <f>IF(AH8="","",MATCH(AH8,$AW$2:$AW$6,0))</f>
        <v/>
      </c>
      <c r="BV8" s="17">
        <f>IF(AI8="","",MATCH(AI8,$AW$2:$AW$6,0))</f>
        <v/>
      </c>
      <c r="BW8" s="17">
        <f>IF(AJ8="","",MATCH(AJ8,$AW$2:$AW$6,0))</f>
        <v/>
      </c>
      <c r="BX8" s="17">
        <f>IF(AK8="","",MATCH(AK8,$AW$2:$AW$6,0))</f>
        <v/>
      </c>
      <c r="BY8" s="17">
        <f>IF(AL8="","",MATCH(AL8,$AW$2:$AW$6,0))</f>
        <v/>
      </c>
      <c r="BZ8" s="17">
        <f>IF(AM8="","",MATCH(AM8,$AW$2:$AW$6,0))</f>
        <v/>
      </c>
      <c r="CA8" s="17">
        <f>IF(AN8="","",MATCH(AN8,$AW$2:$AW$6,0))</f>
        <v/>
      </c>
      <c r="CB8" s="17">
        <f>IF(AO8="","",MATCH(AO8,$AW$2:$AW$6,0))</f>
        <v/>
      </c>
      <c r="CC8" s="17">
        <f>IF(AP8="","",MATCH(AP8,$AW$2:$AW$6,0))</f>
        <v/>
      </c>
      <c r="CD8" s="17">
        <f>IF(AQ8="","",MATCH(AQ8,$AW$2:$AW$6,0))</f>
        <v/>
      </c>
      <c r="CE8" s="34" t="n"/>
      <c r="CF8" s="34" t="n"/>
      <c r="CG8" s="34" t="n"/>
      <c r="CH8" s="34" t="n"/>
      <c r="CI8" s="16">
        <f>IF(AR8="","",AR8)</f>
        <v/>
      </c>
      <c r="CJ8" s="16">
        <f>IF(AS8="","",AS8)</f>
        <v/>
      </c>
      <c r="CK8" s="16">
        <f>IF(AT8="","",AT8)</f>
        <v/>
      </c>
      <c r="CL8" s="16">
        <f>IF(AU8="","",AU8)</f>
        <v/>
      </c>
      <c r="CM8" s="35">
        <f>IF(AY8="","",IF(COUNTIF($AY$5:$AY$64,AY8)&gt;1,"중복! 마지막 것만 남기세요",""))</f>
        <v/>
      </c>
    </row>
    <row r="9">
      <c r="AY9" s="16">
        <f>IF(AND(B9="",C9=""),"",TRIM(B9)&amp;" "&amp;TRIM(C9))</f>
        <v/>
      </c>
      <c r="AZ9" s="17">
        <f>IF(AND(B9="",C9=""),"",SUMPRODUCT(--(D9:M9=$D$3:$M$3)))</f>
        <v/>
      </c>
      <c r="BA9" s="17">
        <f>IF(N9="","",MATCH(N9,$AW$2:$AW$6,0))</f>
        <v/>
      </c>
      <c r="BB9" s="17">
        <f>IF(O9="","",MATCH(O9,$AW$2:$AW$6,0))</f>
        <v/>
      </c>
      <c r="BC9" s="17">
        <f>IF(P9="","",MATCH(P9,$AW$2:$AW$6,0))</f>
        <v/>
      </c>
      <c r="BD9" s="17">
        <f>IF(Q9="","",MATCH(Q9,$AW$2:$AW$6,0))</f>
        <v/>
      </c>
      <c r="BE9" s="17">
        <f>IF(R9="","",MATCH(R9,$AW$2:$AW$6,0))</f>
        <v/>
      </c>
      <c r="BF9" s="17">
        <f>IF(S9="","",MATCH(S9,$AW$2:$AW$6,0))</f>
        <v/>
      </c>
      <c r="BG9" s="17">
        <f>IF(T9="","",MATCH(T9,$AW$2:$AW$6,0))</f>
        <v/>
      </c>
      <c r="BH9" s="17">
        <f>IF(U9="","",MATCH(U9,$AW$2:$AW$6,0))</f>
        <v/>
      </c>
      <c r="BI9" s="17">
        <f>IF(V9="","",MATCH(V9,$AW$2:$AW$6,0))</f>
        <v/>
      </c>
      <c r="BJ9" s="17">
        <f>IF(W9="","",MATCH(W9,$AW$2:$AW$6,0))</f>
        <v/>
      </c>
      <c r="BK9" s="17">
        <f>IF(X9="","",MATCH(X9,$AW$2:$AW$6,0))</f>
        <v/>
      </c>
      <c r="BL9" s="17">
        <f>IF(Y9="","",MATCH(Y9,$AW$2:$AW$6,0))</f>
        <v/>
      </c>
      <c r="BM9" s="17">
        <f>IF(Z9="","",MATCH(Z9,$AW$2:$AW$6,0))</f>
        <v/>
      </c>
      <c r="BN9" s="17">
        <f>IF(AA9="","",MATCH(AA9,$AW$2:$AW$6,0))</f>
        <v/>
      </c>
      <c r="BO9" s="17">
        <f>IF(AB9="","",MATCH(AB9,$AW$2:$AW$6,0))</f>
        <v/>
      </c>
      <c r="BP9" s="17">
        <f>IF(AC9="","",MATCH(AC9,$AW$2:$AW$6,0))</f>
        <v/>
      </c>
      <c r="BQ9" s="17">
        <f>IF(AD9="","",MATCH(AD9,$AW$2:$AW$6,0))</f>
        <v/>
      </c>
      <c r="BR9" s="17">
        <f>IF(AE9="","",MATCH(AE9,$AW$2:$AW$6,0))</f>
        <v/>
      </c>
      <c r="BS9" s="17">
        <f>IF(AF9="","",MATCH(AF9,$AW$2:$AW$6,0))</f>
        <v/>
      </c>
      <c r="BT9" s="17">
        <f>IF(AG9="","",MATCH(AG9,$AW$2:$AW$6,0))</f>
        <v/>
      </c>
      <c r="BU9" s="17">
        <f>IF(AH9="","",MATCH(AH9,$AW$2:$AW$6,0))</f>
        <v/>
      </c>
      <c r="BV9" s="17">
        <f>IF(AI9="","",MATCH(AI9,$AW$2:$AW$6,0))</f>
        <v/>
      </c>
      <c r="BW9" s="17">
        <f>IF(AJ9="","",MATCH(AJ9,$AW$2:$AW$6,0))</f>
        <v/>
      </c>
      <c r="BX9" s="17">
        <f>IF(AK9="","",MATCH(AK9,$AW$2:$AW$6,0))</f>
        <v/>
      </c>
      <c r="BY9" s="17">
        <f>IF(AL9="","",MATCH(AL9,$AW$2:$AW$6,0))</f>
        <v/>
      </c>
      <c r="BZ9" s="17">
        <f>IF(AM9="","",MATCH(AM9,$AW$2:$AW$6,0))</f>
        <v/>
      </c>
      <c r="CA9" s="17">
        <f>IF(AN9="","",MATCH(AN9,$AW$2:$AW$6,0))</f>
        <v/>
      </c>
      <c r="CB9" s="17">
        <f>IF(AO9="","",MATCH(AO9,$AW$2:$AW$6,0))</f>
        <v/>
      </c>
      <c r="CC9" s="17">
        <f>IF(AP9="","",MATCH(AP9,$AW$2:$AW$6,0))</f>
        <v/>
      </c>
      <c r="CD9" s="17">
        <f>IF(AQ9="","",MATCH(AQ9,$AW$2:$AW$6,0))</f>
        <v/>
      </c>
      <c r="CE9" s="34" t="n"/>
      <c r="CF9" s="34" t="n"/>
      <c r="CG9" s="34" t="n"/>
      <c r="CH9" s="34" t="n"/>
      <c r="CI9" s="16">
        <f>IF(AR9="","",AR9)</f>
        <v/>
      </c>
      <c r="CJ9" s="16">
        <f>IF(AS9="","",AS9)</f>
        <v/>
      </c>
      <c r="CK9" s="16">
        <f>IF(AT9="","",AT9)</f>
        <v/>
      </c>
      <c r="CL9" s="16">
        <f>IF(AU9="","",AU9)</f>
        <v/>
      </c>
      <c r="CM9" s="35">
        <f>IF(AY9="","",IF(COUNTIF($AY$5:$AY$64,AY9)&gt;1,"중복! 마지막 것만 남기세요",""))</f>
        <v/>
      </c>
    </row>
    <row r="10">
      <c r="AY10" s="16">
        <f>IF(AND(B10="",C10=""),"",TRIM(B10)&amp;" "&amp;TRIM(C10))</f>
        <v/>
      </c>
      <c r="AZ10" s="17">
        <f>IF(AND(B10="",C10=""),"",SUMPRODUCT(--(D10:M10=$D$3:$M$3)))</f>
        <v/>
      </c>
      <c r="BA10" s="17">
        <f>IF(N10="","",MATCH(N10,$AW$2:$AW$6,0))</f>
        <v/>
      </c>
      <c r="BB10" s="17">
        <f>IF(O10="","",MATCH(O10,$AW$2:$AW$6,0))</f>
        <v/>
      </c>
      <c r="BC10" s="17">
        <f>IF(P10="","",MATCH(P10,$AW$2:$AW$6,0))</f>
        <v/>
      </c>
      <c r="BD10" s="17">
        <f>IF(Q10="","",MATCH(Q10,$AW$2:$AW$6,0))</f>
        <v/>
      </c>
      <c r="BE10" s="17">
        <f>IF(R10="","",MATCH(R10,$AW$2:$AW$6,0))</f>
        <v/>
      </c>
      <c r="BF10" s="17">
        <f>IF(S10="","",MATCH(S10,$AW$2:$AW$6,0))</f>
        <v/>
      </c>
      <c r="BG10" s="17">
        <f>IF(T10="","",MATCH(T10,$AW$2:$AW$6,0))</f>
        <v/>
      </c>
      <c r="BH10" s="17">
        <f>IF(U10="","",MATCH(U10,$AW$2:$AW$6,0))</f>
        <v/>
      </c>
      <c r="BI10" s="17">
        <f>IF(V10="","",MATCH(V10,$AW$2:$AW$6,0))</f>
        <v/>
      </c>
      <c r="BJ10" s="17">
        <f>IF(W10="","",MATCH(W10,$AW$2:$AW$6,0))</f>
        <v/>
      </c>
      <c r="BK10" s="17">
        <f>IF(X10="","",MATCH(X10,$AW$2:$AW$6,0))</f>
        <v/>
      </c>
      <c r="BL10" s="17">
        <f>IF(Y10="","",MATCH(Y10,$AW$2:$AW$6,0))</f>
        <v/>
      </c>
      <c r="BM10" s="17">
        <f>IF(Z10="","",MATCH(Z10,$AW$2:$AW$6,0))</f>
        <v/>
      </c>
      <c r="BN10" s="17">
        <f>IF(AA10="","",MATCH(AA10,$AW$2:$AW$6,0))</f>
        <v/>
      </c>
      <c r="BO10" s="17">
        <f>IF(AB10="","",MATCH(AB10,$AW$2:$AW$6,0))</f>
        <v/>
      </c>
      <c r="BP10" s="17">
        <f>IF(AC10="","",MATCH(AC10,$AW$2:$AW$6,0))</f>
        <v/>
      </c>
      <c r="BQ10" s="17">
        <f>IF(AD10="","",MATCH(AD10,$AW$2:$AW$6,0))</f>
        <v/>
      </c>
      <c r="BR10" s="17">
        <f>IF(AE10="","",MATCH(AE10,$AW$2:$AW$6,0))</f>
        <v/>
      </c>
      <c r="BS10" s="17">
        <f>IF(AF10="","",MATCH(AF10,$AW$2:$AW$6,0))</f>
        <v/>
      </c>
      <c r="BT10" s="17">
        <f>IF(AG10="","",MATCH(AG10,$AW$2:$AW$6,0))</f>
        <v/>
      </c>
      <c r="BU10" s="17">
        <f>IF(AH10="","",MATCH(AH10,$AW$2:$AW$6,0))</f>
        <v/>
      </c>
      <c r="BV10" s="17">
        <f>IF(AI10="","",MATCH(AI10,$AW$2:$AW$6,0))</f>
        <v/>
      </c>
      <c r="BW10" s="17">
        <f>IF(AJ10="","",MATCH(AJ10,$AW$2:$AW$6,0))</f>
        <v/>
      </c>
      <c r="BX10" s="17">
        <f>IF(AK10="","",MATCH(AK10,$AW$2:$AW$6,0))</f>
        <v/>
      </c>
      <c r="BY10" s="17">
        <f>IF(AL10="","",MATCH(AL10,$AW$2:$AW$6,0))</f>
        <v/>
      </c>
      <c r="BZ10" s="17">
        <f>IF(AM10="","",MATCH(AM10,$AW$2:$AW$6,0))</f>
        <v/>
      </c>
      <c r="CA10" s="17">
        <f>IF(AN10="","",MATCH(AN10,$AW$2:$AW$6,0))</f>
        <v/>
      </c>
      <c r="CB10" s="17">
        <f>IF(AO10="","",MATCH(AO10,$AW$2:$AW$6,0))</f>
        <v/>
      </c>
      <c r="CC10" s="17">
        <f>IF(AP10="","",MATCH(AP10,$AW$2:$AW$6,0))</f>
        <v/>
      </c>
      <c r="CD10" s="17">
        <f>IF(AQ10="","",MATCH(AQ10,$AW$2:$AW$6,0))</f>
        <v/>
      </c>
      <c r="CE10" s="34" t="n"/>
      <c r="CF10" s="34" t="n"/>
      <c r="CG10" s="34" t="n"/>
      <c r="CH10" s="34" t="n"/>
      <c r="CI10" s="16">
        <f>IF(AR10="","",AR10)</f>
        <v/>
      </c>
      <c r="CJ10" s="16">
        <f>IF(AS10="","",AS10)</f>
        <v/>
      </c>
      <c r="CK10" s="16">
        <f>IF(AT10="","",AT10)</f>
        <v/>
      </c>
      <c r="CL10" s="16">
        <f>IF(AU10="","",AU10)</f>
        <v/>
      </c>
      <c r="CM10" s="35">
        <f>IF(AY10="","",IF(COUNTIF($AY$5:$AY$64,AY10)&gt;1,"중복! 마지막 것만 남기세요",""))</f>
        <v/>
      </c>
    </row>
    <row r="11">
      <c r="AY11" s="16">
        <f>IF(AND(B11="",C11=""),"",TRIM(B11)&amp;" "&amp;TRIM(C11))</f>
        <v/>
      </c>
      <c r="AZ11" s="17">
        <f>IF(AND(B11="",C11=""),"",SUMPRODUCT(--(D11:M11=$D$3:$M$3)))</f>
        <v/>
      </c>
      <c r="BA11" s="17">
        <f>IF(N11="","",MATCH(N11,$AW$2:$AW$6,0))</f>
        <v/>
      </c>
      <c r="BB11" s="17">
        <f>IF(O11="","",MATCH(O11,$AW$2:$AW$6,0))</f>
        <v/>
      </c>
      <c r="BC11" s="17">
        <f>IF(P11="","",MATCH(P11,$AW$2:$AW$6,0))</f>
        <v/>
      </c>
      <c r="BD11" s="17">
        <f>IF(Q11="","",MATCH(Q11,$AW$2:$AW$6,0))</f>
        <v/>
      </c>
      <c r="BE11" s="17">
        <f>IF(R11="","",MATCH(R11,$AW$2:$AW$6,0))</f>
        <v/>
      </c>
      <c r="BF11" s="17">
        <f>IF(S11="","",MATCH(S11,$AW$2:$AW$6,0))</f>
        <v/>
      </c>
      <c r="BG11" s="17">
        <f>IF(T11="","",MATCH(T11,$AW$2:$AW$6,0))</f>
        <v/>
      </c>
      <c r="BH11" s="17">
        <f>IF(U11="","",MATCH(U11,$AW$2:$AW$6,0))</f>
        <v/>
      </c>
      <c r="BI11" s="17">
        <f>IF(V11="","",MATCH(V11,$AW$2:$AW$6,0))</f>
        <v/>
      </c>
      <c r="BJ11" s="17">
        <f>IF(W11="","",MATCH(W11,$AW$2:$AW$6,0))</f>
        <v/>
      </c>
      <c r="BK11" s="17">
        <f>IF(X11="","",MATCH(X11,$AW$2:$AW$6,0))</f>
        <v/>
      </c>
      <c r="BL11" s="17">
        <f>IF(Y11="","",MATCH(Y11,$AW$2:$AW$6,0))</f>
        <v/>
      </c>
      <c r="BM11" s="17">
        <f>IF(Z11="","",MATCH(Z11,$AW$2:$AW$6,0))</f>
        <v/>
      </c>
      <c r="BN11" s="17">
        <f>IF(AA11="","",MATCH(AA11,$AW$2:$AW$6,0))</f>
        <v/>
      </c>
      <c r="BO11" s="17">
        <f>IF(AB11="","",MATCH(AB11,$AW$2:$AW$6,0))</f>
        <v/>
      </c>
      <c r="BP11" s="17">
        <f>IF(AC11="","",MATCH(AC11,$AW$2:$AW$6,0))</f>
        <v/>
      </c>
      <c r="BQ11" s="17">
        <f>IF(AD11="","",MATCH(AD11,$AW$2:$AW$6,0))</f>
        <v/>
      </c>
      <c r="BR11" s="17">
        <f>IF(AE11="","",MATCH(AE11,$AW$2:$AW$6,0))</f>
        <v/>
      </c>
      <c r="BS11" s="17">
        <f>IF(AF11="","",MATCH(AF11,$AW$2:$AW$6,0))</f>
        <v/>
      </c>
      <c r="BT11" s="17">
        <f>IF(AG11="","",MATCH(AG11,$AW$2:$AW$6,0))</f>
        <v/>
      </c>
      <c r="BU11" s="17">
        <f>IF(AH11="","",MATCH(AH11,$AW$2:$AW$6,0))</f>
        <v/>
      </c>
      <c r="BV11" s="17">
        <f>IF(AI11="","",MATCH(AI11,$AW$2:$AW$6,0))</f>
        <v/>
      </c>
      <c r="BW11" s="17">
        <f>IF(AJ11="","",MATCH(AJ11,$AW$2:$AW$6,0))</f>
        <v/>
      </c>
      <c r="BX11" s="17">
        <f>IF(AK11="","",MATCH(AK11,$AW$2:$AW$6,0))</f>
        <v/>
      </c>
      <c r="BY11" s="17">
        <f>IF(AL11="","",MATCH(AL11,$AW$2:$AW$6,0))</f>
        <v/>
      </c>
      <c r="BZ11" s="17">
        <f>IF(AM11="","",MATCH(AM11,$AW$2:$AW$6,0))</f>
        <v/>
      </c>
      <c r="CA11" s="17">
        <f>IF(AN11="","",MATCH(AN11,$AW$2:$AW$6,0))</f>
        <v/>
      </c>
      <c r="CB11" s="17">
        <f>IF(AO11="","",MATCH(AO11,$AW$2:$AW$6,0))</f>
        <v/>
      </c>
      <c r="CC11" s="17">
        <f>IF(AP11="","",MATCH(AP11,$AW$2:$AW$6,0))</f>
        <v/>
      </c>
      <c r="CD11" s="17">
        <f>IF(AQ11="","",MATCH(AQ11,$AW$2:$AW$6,0))</f>
        <v/>
      </c>
      <c r="CE11" s="34" t="n"/>
      <c r="CF11" s="34" t="n"/>
      <c r="CG11" s="34" t="n"/>
      <c r="CH11" s="34" t="n"/>
      <c r="CI11" s="16">
        <f>IF(AR11="","",AR11)</f>
        <v/>
      </c>
      <c r="CJ11" s="16">
        <f>IF(AS11="","",AS11)</f>
        <v/>
      </c>
      <c r="CK11" s="16">
        <f>IF(AT11="","",AT11)</f>
        <v/>
      </c>
      <c r="CL11" s="16">
        <f>IF(AU11="","",AU11)</f>
        <v/>
      </c>
      <c r="CM11" s="35">
        <f>IF(AY11="","",IF(COUNTIF($AY$5:$AY$64,AY11)&gt;1,"중복! 마지막 것만 남기세요",""))</f>
        <v/>
      </c>
    </row>
    <row r="12">
      <c r="AY12" s="16">
        <f>IF(AND(B12="",C12=""),"",TRIM(B12)&amp;" "&amp;TRIM(C12))</f>
        <v/>
      </c>
      <c r="AZ12" s="17">
        <f>IF(AND(B12="",C12=""),"",SUMPRODUCT(--(D12:M12=$D$3:$M$3)))</f>
        <v/>
      </c>
      <c r="BA12" s="17">
        <f>IF(N12="","",MATCH(N12,$AW$2:$AW$6,0))</f>
        <v/>
      </c>
      <c r="BB12" s="17">
        <f>IF(O12="","",MATCH(O12,$AW$2:$AW$6,0))</f>
        <v/>
      </c>
      <c r="BC12" s="17">
        <f>IF(P12="","",MATCH(P12,$AW$2:$AW$6,0))</f>
        <v/>
      </c>
      <c r="BD12" s="17">
        <f>IF(Q12="","",MATCH(Q12,$AW$2:$AW$6,0))</f>
        <v/>
      </c>
      <c r="BE12" s="17">
        <f>IF(R12="","",MATCH(R12,$AW$2:$AW$6,0))</f>
        <v/>
      </c>
      <c r="BF12" s="17">
        <f>IF(S12="","",MATCH(S12,$AW$2:$AW$6,0))</f>
        <v/>
      </c>
      <c r="BG12" s="17">
        <f>IF(T12="","",MATCH(T12,$AW$2:$AW$6,0))</f>
        <v/>
      </c>
      <c r="BH12" s="17">
        <f>IF(U12="","",MATCH(U12,$AW$2:$AW$6,0))</f>
        <v/>
      </c>
      <c r="BI12" s="17">
        <f>IF(V12="","",MATCH(V12,$AW$2:$AW$6,0))</f>
        <v/>
      </c>
      <c r="BJ12" s="17">
        <f>IF(W12="","",MATCH(W12,$AW$2:$AW$6,0))</f>
        <v/>
      </c>
      <c r="BK12" s="17">
        <f>IF(X12="","",MATCH(X12,$AW$2:$AW$6,0))</f>
        <v/>
      </c>
      <c r="BL12" s="17">
        <f>IF(Y12="","",MATCH(Y12,$AW$2:$AW$6,0))</f>
        <v/>
      </c>
      <c r="BM12" s="17">
        <f>IF(Z12="","",MATCH(Z12,$AW$2:$AW$6,0))</f>
        <v/>
      </c>
      <c r="BN12" s="17">
        <f>IF(AA12="","",MATCH(AA12,$AW$2:$AW$6,0))</f>
        <v/>
      </c>
      <c r="BO12" s="17">
        <f>IF(AB12="","",MATCH(AB12,$AW$2:$AW$6,0))</f>
        <v/>
      </c>
      <c r="BP12" s="17">
        <f>IF(AC12="","",MATCH(AC12,$AW$2:$AW$6,0))</f>
        <v/>
      </c>
      <c r="BQ12" s="17">
        <f>IF(AD12="","",MATCH(AD12,$AW$2:$AW$6,0))</f>
        <v/>
      </c>
      <c r="BR12" s="17">
        <f>IF(AE12="","",MATCH(AE12,$AW$2:$AW$6,0))</f>
        <v/>
      </c>
      <c r="BS12" s="17">
        <f>IF(AF12="","",MATCH(AF12,$AW$2:$AW$6,0))</f>
        <v/>
      </c>
      <c r="BT12" s="17">
        <f>IF(AG12="","",MATCH(AG12,$AW$2:$AW$6,0))</f>
        <v/>
      </c>
      <c r="BU12" s="17">
        <f>IF(AH12="","",MATCH(AH12,$AW$2:$AW$6,0))</f>
        <v/>
      </c>
      <c r="BV12" s="17">
        <f>IF(AI12="","",MATCH(AI12,$AW$2:$AW$6,0))</f>
        <v/>
      </c>
      <c r="BW12" s="17">
        <f>IF(AJ12="","",MATCH(AJ12,$AW$2:$AW$6,0))</f>
        <v/>
      </c>
      <c r="BX12" s="17">
        <f>IF(AK12="","",MATCH(AK12,$AW$2:$AW$6,0))</f>
        <v/>
      </c>
      <c r="BY12" s="17">
        <f>IF(AL12="","",MATCH(AL12,$AW$2:$AW$6,0))</f>
        <v/>
      </c>
      <c r="BZ12" s="17">
        <f>IF(AM12="","",MATCH(AM12,$AW$2:$AW$6,0))</f>
        <v/>
      </c>
      <c r="CA12" s="17">
        <f>IF(AN12="","",MATCH(AN12,$AW$2:$AW$6,0))</f>
        <v/>
      </c>
      <c r="CB12" s="17">
        <f>IF(AO12="","",MATCH(AO12,$AW$2:$AW$6,0))</f>
        <v/>
      </c>
      <c r="CC12" s="17">
        <f>IF(AP12="","",MATCH(AP12,$AW$2:$AW$6,0))</f>
        <v/>
      </c>
      <c r="CD12" s="17">
        <f>IF(AQ12="","",MATCH(AQ12,$AW$2:$AW$6,0))</f>
        <v/>
      </c>
      <c r="CE12" s="34" t="n"/>
      <c r="CF12" s="34" t="n"/>
      <c r="CG12" s="34" t="n"/>
      <c r="CH12" s="34" t="n"/>
      <c r="CI12" s="16">
        <f>IF(AR12="","",AR12)</f>
        <v/>
      </c>
      <c r="CJ12" s="16">
        <f>IF(AS12="","",AS12)</f>
        <v/>
      </c>
      <c r="CK12" s="16">
        <f>IF(AT12="","",AT12)</f>
        <v/>
      </c>
      <c r="CL12" s="16">
        <f>IF(AU12="","",AU12)</f>
        <v/>
      </c>
      <c r="CM12" s="35">
        <f>IF(AY12="","",IF(COUNTIF($AY$5:$AY$64,AY12)&gt;1,"중복! 마지막 것만 남기세요",""))</f>
        <v/>
      </c>
    </row>
    <row r="13">
      <c r="AY13" s="16">
        <f>IF(AND(B13="",C13=""),"",TRIM(B13)&amp;" "&amp;TRIM(C13))</f>
        <v/>
      </c>
      <c r="AZ13" s="17">
        <f>IF(AND(B13="",C13=""),"",SUMPRODUCT(--(D13:M13=$D$3:$M$3)))</f>
        <v/>
      </c>
      <c r="BA13" s="17">
        <f>IF(N13="","",MATCH(N13,$AW$2:$AW$6,0))</f>
        <v/>
      </c>
      <c r="BB13" s="17">
        <f>IF(O13="","",MATCH(O13,$AW$2:$AW$6,0))</f>
        <v/>
      </c>
      <c r="BC13" s="17">
        <f>IF(P13="","",MATCH(P13,$AW$2:$AW$6,0))</f>
        <v/>
      </c>
      <c r="BD13" s="17">
        <f>IF(Q13="","",MATCH(Q13,$AW$2:$AW$6,0))</f>
        <v/>
      </c>
      <c r="BE13" s="17">
        <f>IF(R13="","",MATCH(R13,$AW$2:$AW$6,0))</f>
        <v/>
      </c>
      <c r="BF13" s="17">
        <f>IF(S13="","",MATCH(S13,$AW$2:$AW$6,0))</f>
        <v/>
      </c>
      <c r="BG13" s="17">
        <f>IF(T13="","",MATCH(T13,$AW$2:$AW$6,0))</f>
        <v/>
      </c>
      <c r="BH13" s="17">
        <f>IF(U13="","",MATCH(U13,$AW$2:$AW$6,0))</f>
        <v/>
      </c>
      <c r="BI13" s="17">
        <f>IF(V13="","",MATCH(V13,$AW$2:$AW$6,0))</f>
        <v/>
      </c>
      <c r="BJ13" s="17">
        <f>IF(W13="","",MATCH(W13,$AW$2:$AW$6,0))</f>
        <v/>
      </c>
      <c r="BK13" s="17">
        <f>IF(X13="","",MATCH(X13,$AW$2:$AW$6,0))</f>
        <v/>
      </c>
      <c r="BL13" s="17">
        <f>IF(Y13="","",MATCH(Y13,$AW$2:$AW$6,0))</f>
        <v/>
      </c>
      <c r="BM13" s="17">
        <f>IF(Z13="","",MATCH(Z13,$AW$2:$AW$6,0))</f>
        <v/>
      </c>
      <c r="BN13" s="17">
        <f>IF(AA13="","",MATCH(AA13,$AW$2:$AW$6,0))</f>
        <v/>
      </c>
      <c r="BO13" s="17">
        <f>IF(AB13="","",MATCH(AB13,$AW$2:$AW$6,0))</f>
        <v/>
      </c>
      <c r="BP13" s="17">
        <f>IF(AC13="","",MATCH(AC13,$AW$2:$AW$6,0))</f>
        <v/>
      </c>
      <c r="BQ13" s="17">
        <f>IF(AD13="","",MATCH(AD13,$AW$2:$AW$6,0))</f>
        <v/>
      </c>
      <c r="BR13" s="17">
        <f>IF(AE13="","",MATCH(AE13,$AW$2:$AW$6,0))</f>
        <v/>
      </c>
      <c r="BS13" s="17">
        <f>IF(AF13="","",MATCH(AF13,$AW$2:$AW$6,0))</f>
        <v/>
      </c>
      <c r="BT13" s="17">
        <f>IF(AG13="","",MATCH(AG13,$AW$2:$AW$6,0))</f>
        <v/>
      </c>
      <c r="BU13" s="17">
        <f>IF(AH13="","",MATCH(AH13,$AW$2:$AW$6,0))</f>
        <v/>
      </c>
      <c r="BV13" s="17">
        <f>IF(AI13="","",MATCH(AI13,$AW$2:$AW$6,0))</f>
        <v/>
      </c>
      <c r="BW13" s="17">
        <f>IF(AJ13="","",MATCH(AJ13,$AW$2:$AW$6,0))</f>
        <v/>
      </c>
      <c r="BX13" s="17">
        <f>IF(AK13="","",MATCH(AK13,$AW$2:$AW$6,0))</f>
        <v/>
      </c>
      <c r="BY13" s="17">
        <f>IF(AL13="","",MATCH(AL13,$AW$2:$AW$6,0))</f>
        <v/>
      </c>
      <c r="BZ13" s="17">
        <f>IF(AM13="","",MATCH(AM13,$AW$2:$AW$6,0))</f>
        <v/>
      </c>
      <c r="CA13" s="17">
        <f>IF(AN13="","",MATCH(AN13,$AW$2:$AW$6,0))</f>
        <v/>
      </c>
      <c r="CB13" s="17">
        <f>IF(AO13="","",MATCH(AO13,$AW$2:$AW$6,0))</f>
        <v/>
      </c>
      <c r="CC13" s="17">
        <f>IF(AP13="","",MATCH(AP13,$AW$2:$AW$6,0))</f>
        <v/>
      </c>
      <c r="CD13" s="17">
        <f>IF(AQ13="","",MATCH(AQ13,$AW$2:$AW$6,0))</f>
        <v/>
      </c>
      <c r="CE13" s="34" t="n"/>
      <c r="CF13" s="34" t="n"/>
      <c r="CG13" s="34" t="n"/>
      <c r="CH13" s="34" t="n"/>
      <c r="CI13" s="16">
        <f>IF(AR13="","",AR13)</f>
        <v/>
      </c>
      <c r="CJ13" s="16">
        <f>IF(AS13="","",AS13)</f>
        <v/>
      </c>
      <c r="CK13" s="16">
        <f>IF(AT13="","",AT13)</f>
        <v/>
      </c>
      <c r="CL13" s="16">
        <f>IF(AU13="","",AU13)</f>
        <v/>
      </c>
      <c r="CM13" s="35">
        <f>IF(AY13="","",IF(COUNTIF($AY$5:$AY$64,AY13)&gt;1,"중복! 마지막 것만 남기세요",""))</f>
        <v/>
      </c>
    </row>
    <row r="14">
      <c r="AY14" s="16">
        <f>IF(AND(B14="",C14=""),"",TRIM(B14)&amp;" "&amp;TRIM(C14))</f>
        <v/>
      </c>
      <c r="AZ14" s="17">
        <f>IF(AND(B14="",C14=""),"",SUMPRODUCT(--(D14:M14=$D$3:$M$3)))</f>
        <v/>
      </c>
      <c r="BA14" s="17">
        <f>IF(N14="","",MATCH(N14,$AW$2:$AW$6,0))</f>
        <v/>
      </c>
      <c r="BB14" s="17">
        <f>IF(O14="","",MATCH(O14,$AW$2:$AW$6,0))</f>
        <v/>
      </c>
      <c r="BC14" s="17">
        <f>IF(P14="","",MATCH(P14,$AW$2:$AW$6,0))</f>
        <v/>
      </c>
      <c r="BD14" s="17">
        <f>IF(Q14="","",MATCH(Q14,$AW$2:$AW$6,0))</f>
        <v/>
      </c>
      <c r="BE14" s="17">
        <f>IF(R14="","",MATCH(R14,$AW$2:$AW$6,0))</f>
        <v/>
      </c>
      <c r="BF14" s="17">
        <f>IF(S14="","",MATCH(S14,$AW$2:$AW$6,0))</f>
        <v/>
      </c>
      <c r="BG14" s="17">
        <f>IF(T14="","",MATCH(T14,$AW$2:$AW$6,0))</f>
        <v/>
      </c>
      <c r="BH14" s="17">
        <f>IF(U14="","",MATCH(U14,$AW$2:$AW$6,0))</f>
        <v/>
      </c>
      <c r="BI14" s="17">
        <f>IF(V14="","",MATCH(V14,$AW$2:$AW$6,0))</f>
        <v/>
      </c>
      <c r="BJ14" s="17">
        <f>IF(W14="","",MATCH(W14,$AW$2:$AW$6,0))</f>
        <v/>
      </c>
      <c r="BK14" s="17">
        <f>IF(X14="","",MATCH(X14,$AW$2:$AW$6,0))</f>
        <v/>
      </c>
      <c r="BL14" s="17">
        <f>IF(Y14="","",MATCH(Y14,$AW$2:$AW$6,0))</f>
        <v/>
      </c>
      <c r="BM14" s="17">
        <f>IF(Z14="","",MATCH(Z14,$AW$2:$AW$6,0))</f>
        <v/>
      </c>
      <c r="BN14" s="17">
        <f>IF(AA14="","",MATCH(AA14,$AW$2:$AW$6,0))</f>
        <v/>
      </c>
      <c r="BO14" s="17">
        <f>IF(AB14="","",MATCH(AB14,$AW$2:$AW$6,0))</f>
        <v/>
      </c>
      <c r="BP14" s="17">
        <f>IF(AC14="","",MATCH(AC14,$AW$2:$AW$6,0))</f>
        <v/>
      </c>
      <c r="BQ14" s="17">
        <f>IF(AD14="","",MATCH(AD14,$AW$2:$AW$6,0))</f>
        <v/>
      </c>
      <c r="BR14" s="17">
        <f>IF(AE14="","",MATCH(AE14,$AW$2:$AW$6,0))</f>
        <v/>
      </c>
      <c r="BS14" s="17">
        <f>IF(AF14="","",MATCH(AF14,$AW$2:$AW$6,0))</f>
        <v/>
      </c>
      <c r="BT14" s="17">
        <f>IF(AG14="","",MATCH(AG14,$AW$2:$AW$6,0))</f>
        <v/>
      </c>
      <c r="BU14" s="17">
        <f>IF(AH14="","",MATCH(AH14,$AW$2:$AW$6,0))</f>
        <v/>
      </c>
      <c r="BV14" s="17">
        <f>IF(AI14="","",MATCH(AI14,$AW$2:$AW$6,0))</f>
        <v/>
      </c>
      <c r="BW14" s="17">
        <f>IF(AJ14="","",MATCH(AJ14,$AW$2:$AW$6,0))</f>
        <v/>
      </c>
      <c r="BX14" s="17">
        <f>IF(AK14="","",MATCH(AK14,$AW$2:$AW$6,0))</f>
        <v/>
      </c>
      <c r="BY14" s="17">
        <f>IF(AL14="","",MATCH(AL14,$AW$2:$AW$6,0))</f>
        <v/>
      </c>
      <c r="BZ14" s="17">
        <f>IF(AM14="","",MATCH(AM14,$AW$2:$AW$6,0))</f>
        <v/>
      </c>
      <c r="CA14" s="17">
        <f>IF(AN14="","",MATCH(AN14,$AW$2:$AW$6,0))</f>
        <v/>
      </c>
      <c r="CB14" s="17">
        <f>IF(AO14="","",MATCH(AO14,$AW$2:$AW$6,0))</f>
        <v/>
      </c>
      <c r="CC14" s="17">
        <f>IF(AP14="","",MATCH(AP14,$AW$2:$AW$6,0))</f>
        <v/>
      </c>
      <c r="CD14" s="17">
        <f>IF(AQ14="","",MATCH(AQ14,$AW$2:$AW$6,0))</f>
        <v/>
      </c>
      <c r="CE14" s="34" t="n"/>
      <c r="CF14" s="34" t="n"/>
      <c r="CG14" s="34" t="n"/>
      <c r="CH14" s="34" t="n"/>
      <c r="CI14" s="16">
        <f>IF(AR14="","",AR14)</f>
        <v/>
      </c>
      <c r="CJ14" s="16">
        <f>IF(AS14="","",AS14)</f>
        <v/>
      </c>
      <c r="CK14" s="16">
        <f>IF(AT14="","",AT14)</f>
        <v/>
      </c>
      <c r="CL14" s="16">
        <f>IF(AU14="","",AU14)</f>
        <v/>
      </c>
      <c r="CM14" s="35">
        <f>IF(AY14="","",IF(COUNTIF($AY$5:$AY$64,AY14)&gt;1,"중복! 마지막 것만 남기세요",""))</f>
        <v/>
      </c>
    </row>
    <row r="15">
      <c r="AY15" s="16">
        <f>IF(AND(B15="",C15=""),"",TRIM(B15)&amp;" "&amp;TRIM(C15))</f>
        <v/>
      </c>
      <c r="AZ15" s="17">
        <f>IF(AND(B15="",C15=""),"",SUMPRODUCT(--(D15:M15=$D$3:$M$3)))</f>
        <v/>
      </c>
      <c r="BA15" s="17">
        <f>IF(N15="","",MATCH(N15,$AW$2:$AW$6,0))</f>
        <v/>
      </c>
      <c r="BB15" s="17">
        <f>IF(O15="","",MATCH(O15,$AW$2:$AW$6,0))</f>
        <v/>
      </c>
      <c r="BC15" s="17">
        <f>IF(P15="","",MATCH(P15,$AW$2:$AW$6,0))</f>
        <v/>
      </c>
      <c r="BD15" s="17">
        <f>IF(Q15="","",MATCH(Q15,$AW$2:$AW$6,0))</f>
        <v/>
      </c>
      <c r="BE15" s="17">
        <f>IF(R15="","",MATCH(R15,$AW$2:$AW$6,0))</f>
        <v/>
      </c>
      <c r="BF15" s="17">
        <f>IF(S15="","",MATCH(S15,$AW$2:$AW$6,0))</f>
        <v/>
      </c>
      <c r="BG15" s="17">
        <f>IF(T15="","",MATCH(T15,$AW$2:$AW$6,0))</f>
        <v/>
      </c>
      <c r="BH15" s="17">
        <f>IF(U15="","",MATCH(U15,$AW$2:$AW$6,0))</f>
        <v/>
      </c>
      <c r="BI15" s="17">
        <f>IF(V15="","",MATCH(V15,$AW$2:$AW$6,0))</f>
        <v/>
      </c>
      <c r="BJ15" s="17">
        <f>IF(W15="","",MATCH(W15,$AW$2:$AW$6,0))</f>
        <v/>
      </c>
      <c r="BK15" s="17">
        <f>IF(X15="","",MATCH(X15,$AW$2:$AW$6,0))</f>
        <v/>
      </c>
      <c r="BL15" s="17">
        <f>IF(Y15="","",MATCH(Y15,$AW$2:$AW$6,0))</f>
        <v/>
      </c>
      <c r="BM15" s="17">
        <f>IF(Z15="","",MATCH(Z15,$AW$2:$AW$6,0))</f>
        <v/>
      </c>
      <c r="BN15" s="17">
        <f>IF(AA15="","",MATCH(AA15,$AW$2:$AW$6,0))</f>
        <v/>
      </c>
      <c r="BO15" s="17">
        <f>IF(AB15="","",MATCH(AB15,$AW$2:$AW$6,0))</f>
        <v/>
      </c>
      <c r="BP15" s="17">
        <f>IF(AC15="","",MATCH(AC15,$AW$2:$AW$6,0))</f>
        <v/>
      </c>
      <c r="BQ15" s="17">
        <f>IF(AD15="","",MATCH(AD15,$AW$2:$AW$6,0))</f>
        <v/>
      </c>
      <c r="BR15" s="17">
        <f>IF(AE15="","",MATCH(AE15,$AW$2:$AW$6,0))</f>
        <v/>
      </c>
      <c r="BS15" s="17">
        <f>IF(AF15="","",MATCH(AF15,$AW$2:$AW$6,0))</f>
        <v/>
      </c>
      <c r="BT15" s="17">
        <f>IF(AG15="","",MATCH(AG15,$AW$2:$AW$6,0))</f>
        <v/>
      </c>
      <c r="BU15" s="17">
        <f>IF(AH15="","",MATCH(AH15,$AW$2:$AW$6,0))</f>
        <v/>
      </c>
      <c r="BV15" s="17">
        <f>IF(AI15="","",MATCH(AI15,$AW$2:$AW$6,0))</f>
        <v/>
      </c>
      <c r="BW15" s="17">
        <f>IF(AJ15="","",MATCH(AJ15,$AW$2:$AW$6,0))</f>
        <v/>
      </c>
      <c r="BX15" s="17">
        <f>IF(AK15="","",MATCH(AK15,$AW$2:$AW$6,0))</f>
        <v/>
      </c>
      <c r="BY15" s="17">
        <f>IF(AL15="","",MATCH(AL15,$AW$2:$AW$6,0))</f>
        <v/>
      </c>
      <c r="BZ15" s="17">
        <f>IF(AM15="","",MATCH(AM15,$AW$2:$AW$6,0))</f>
        <v/>
      </c>
      <c r="CA15" s="17">
        <f>IF(AN15="","",MATCH(AN15,$AW$2:$AW$6,0))</f>
        <v/>
      </c>
      <c r="CB15" s="17">
        <f>IF(AO15="","",MATCH(AO15,$AW$2:$AW$6,0))</f>
        <v/>
      </c>
      <c r="CC15" s="17">
        <f>IF(AP15="","",MATCH(AP15,$AW$2:$AW$6,0))</f>
        <v/>
      </c>
      <c r="CD15" s="17">
        <f>IF(AQ15="","",MATCH(AQ15,$AW$2:$AW$6,0))</f>
        <v/>
      </c>
      <c r="CE15" s="34" t="n"/>
      <c r="CF15" s="34" t="n"/>
      <c r="CG15" s="34" t="n"/>
      <c r="CH15" s="34" t="n"/>
      <c r="CI15" s="16">
        <f>IF(AR15="","",AR15)</f>
        <v/>
      </c>
      <c r="CJ15" s="16">
        <f>IF(AS15="","",AS15)</f>
        <v/>
      </c>
      <c r="CK15" s="16">
        <f>IF(AT15="","",AT15)</f>
        <v/>
      </c>
      <c r="CL15" s="16">
        <f>IF(AU15="","",AU15)</f>
        <v/>
      </c>
      <c r="CM15" s="35">
        <f>IF(AY15="","",IF(COUNTIF($AY$5:$AY$64,AY15)&gt;1,"중복! 마지막 것만 남기세요",""))</f>
        <v/>
      </c>
    </row>
    <row r="16">
      <c r="AY16" s="16">
        <f>IF(AND(B16="",C16=""),"",TRIM(B16)&amp;" "&amp;TRIM(C16))</f>
        <v/>
      </c>
      <c r="AZ16" s="17">
        <f>IF(AND(B16="",C16=""),"",SUMPRODUCT(--(D16:M16=$D$3:$M$3)))</f>
        <v/>
      </c>
      <c r="BA16" s="17">
        <f>IF(N16="","",MATCH(N16,$AW$2:$AW$6,0))</f>
        <v/>
      </c>
      <c r="BB16" s="17">
        <f>IF(O16="","",MATCH(O16,$AW$2:$AW$6,0))</f>
        <v/>
      </c>
      <c r="BC16" s="17">
        <f>IF(P16="","",MATCH(P16,$AW$2:$AW$6,0))</f>
        <v/>
      </c>
      <c r="BD16" s="17">
        <f>IF(Q16="","",MATCH(Q16,$AW$2:$AW$6,0))</f>
        <v/>
      </c>
      <c r="BE16" s="17">
        <f>IF(R16="","",MATCH(R16,$AW$2:$AW$6,0))</f>
        <v/>
      </c>
      <c r="BF16" s="17">
        <f>IF(S16="","",MATCH(S16,$AW$2:$AW$6,0))</f>
        <v/>
      </c>
      <c r="BG16" s="17">
        <f>IF(T16="","",MATCH(T16,$AW$2:$AW$6,0))</f>
        <v/>
      </c>
      <c r="BH16" s="17">
        <f>IF(U16="","",MATCH(U16,$AW$2:$AW$6,0))</f>
        <v/>
      </c>
      <c r="BI16" s="17">
        <f>IF(V16="","",MATCH(V16,$AW$2:$AW$6,0))</f>
        <v/>
      </c>
      <c r="BJ16" s="17">
        <f>IF(W16="","",MATCH(W16,$AW$2:$AW$6,0))</f>
        <v/>
      </c>
      <c r="BK16" s="17">
        <f>IF(X16="","",MATCH(X16,$AW$2:$AW$6,0))</f>
        <v/>
      </c>
      <c r="BL16" s="17">
        <f>IF(Y16="","",MATCH(Y16,$AW$2:$AW$6,0))</f>
        <v/>
      </c>
      <c r="BM16" s="17">
        <f>IF(Z16="","",MATCH(Z16,$AW$2:$AW$6,0))</f>
        <v/>
      </c>
      <c r="BN16" s="17">
        <f>IF(AA16="","",MATCH(AA16,$AW$2:$AW$6,0))</f>
        <v/>
      </c>
      <c r="BO16" s="17">
        <f>IF(AB16="","",MATCH(AB16,$AW$2:$AW$6,0))</f>
        <v/>
      </c>
      <c r="BP16" s="17">
        <f>IF(AC16="","",MATCH(AC16,$AW$2:$AW$6,0))</f>
        <v/>
      </c>
      <c r="BQ16" s="17">
        <f>IF(AD16="","",MATCH(AD16,$AW$2:$AW$6,0))</f>
        <v/>
      </c>
      <c r="BR16" s="17">
        <f>IF(AE16="","",MATCH(AE16,$AW$2:$AW$6,0))</f>
        <v/>
      </c>
      <c r="BS16" s="17">
        <f>IF(AF16="","",MATCH(AF16,$AW$2:$AW$6,0))</f>
        <v/>
      </c>
      <c r="BT16" s="17">
        <f>IF(AG16="","",MATCH(AG16,$AW$2:$AW$6,0))</f>
        <v/>
      </c>
      <c r="BU16" s="17">
        <f>IF(AH16="","",MATCH(AH16,$AW$2:$AW$6,0))</f>
        <v/>
      </c>
      <c r="BV16" s="17">
        <f>IF(AI16="","",MATCH(AI16,$AW$2:$AW$6,0))</f>
        <v/>
      </c>
      <c r="BW16" s="17">
        <f>IF(AJ16="","",MATCH(AJ16,$AW$2:$AW$6,0))</f>
        <v/>
      </c>
      <c r="BX16" s="17">
        <f>IF(AK16="","",MATCH(AK16,$AW$2:$AW$6,0))</f>
        <v/>
      </c>
      <c r="BY16" s="17">
        <f>IF(AL16="","",MATCH(AL16,$AW$2:$AW$6,0))</f>
        <v/>
      </c>
      <c r="BZ16" s="17">
        <f>IF(AM16="","",MATCH(AM16,$AW$2:$AW$6,0))</f>
        <v/>
      </c>
      <c r="CA16" s="17">
        <f>IF(AN16="","",MATCH(AN16,$AW$2:$AW$6,0))</f>
        <v/>
      </c>
      <c r="CB16" s="17">
        <f>IF(AO16="","",MATCH(AO16,$AW$2:$AW$6,0))</f>
        <v/>
      </c>
      <c r="CC16" s="17">
        <f>IF(AP16="","",MATCH(AP16,$AW$2:$AW$6,0))</f>
        <v/>
      </c>
      <c r="CD16" s="17">
        <f>IF(AQ16="","",MATCH(AQ16,$AW$2:$AW$6,0))</f>
        <v/>
      </c>
      <c r="CE16" s="34" t="n"/>
      <c r="CF16" s="34" t="n"/>
      <c r="CG16" s="34" t="n"/>
      <c r="CH16" s="34" t="n"/>
      <c r="CI16" s="16">
        <f>IF(AR16="","",AR16)</f>
        <v/>
      </c>
      <c r="CJ16" s="16">
        <f>IF(AS16="","",AS16)</f>
        <v/>
      </c>
      <c r="CK16" s="16">
        <f>IF(AT16="","",AT16)</f>
        <v/>
      </c>
      <c r="CL16" s="16">
        <f>IF(AU16="","",AU16)</f>
        <v/>
      </c>
      <c r="CM16" s="35">
        <f>IF(AY16="","",IF(COUNTIF($AY$5:$AY$64,AY16)&gt;1,"중복! 마지막 것만 남기세요",""))</f>
        <v/>
      </c>
    </row>
    <row r="17">
      <c r="AY17" s="16">
        <f>IF(AND(B17="",C17=""),"",TRIM(B17)&amp;" "&amp;TRIM(C17))</f>
        <v/>
      </c>
      <c r="AZ17" s="17">
        <f>IF(AND(B17="",C17=""),"",SUMPRODUCT(--(D17:M17=$D$3:$M$3)))</f>
        <v/>
      </c>
      <c r="BA17" s="17">
        <f>IF(N17="","",MATCH(N17,$AW$2:$AW$6,0))</f>
        <v/>
      </c>
      <c r="BB17" s="17">
        <f>IF(O17="","",MATCH(O17,$AW$2:$AW$6,0))</f>
        <v/>
      </c>
      <c r="BC17" s="17">
        <f>IF(P17="","",MATCH(P17,$AW$2:$AW$6,0))</f>
        <v/>
      </c>
      <c r="BD17" s="17">
        <f>IF(Q17="","",MATCH(Q17,$AW$2:$AW$6,0))</f>
        <v/>
      </c>
      <c r="BE17" s="17">
        <f>IF(R17="","",MATCH(R17,$AW$2:$AW$6,0))</f>
        <v/>
      </c>
      <c r="BF17" s="17">
        <f>IF(S17="","",MATCH(S17,$AW$2:$AW$6,0))</f>
        <v/>
      </c>
      <c r="BG17" s="17">
        <f>IF(T17="","",MATCH(T17,$AW$2:$AW$6,0))</f>
        <v/>
      </c>
      <c r="BH17" s="17">
        <f>IF(U17="","",MATCH(U17,$AW$2:$AW$6,0))</f>
        <v/>
      </c>
      <c r="BI17" s="17">
        <f>IF(V17="","",MATCH(V17,$AW$2:$AW$6,0))</f>
        <v/>
      </c>
      <c r="BJ17" s="17">
        <f>IF(W17="","",MATCH(W17,$AW$2:$AW$6,0))</f>
        <v/>
      </c>
      <c r="BK17" s="17">
        <f>IF(X17="","",MATCH(X17,$AW$2:$AW$6,0))</f>
        <v/>
      </c>
      <c r="BL17" s="17">
        <f>IF(Y17="","",MATCH(Y17,$AW$2:$AW$6,0))</f>
        <v/>
      </c>
      <c r="BM17" s="17">
        <f>IF(Z17="","",MATCH(Z17,$AW$2:$AW$6,0))</f>
        <v/>
      </c>
      <c r="BN17" s="17">
        <f>IF(AA17="","",MATCH(AA17,$AW$2:$AW$6,0))</f>
        <v/>
      </c>
      <c r="BO17" s="17">
        <f>IF(AB17="","",MATCH(AB17,$AW$2:$AW$6,0))</f>
        <v/>
      </c>
      <c r="BP17" s="17">
        <f>IF(AC17="","",MATCH(AC17,$AW$2:$AW$6,0))</f>
        <v/>
      </c>
      <c r="BQ17" s="17">
        <f>IF(AD17="","",MATCH(AD17,$AW$2:$AW$6,0))</f>
        <v/>
      </c>
      <c r="BR17" s="17">
        <f>IF(AE17="","",MATCH(AE17,$AW$2:$AW$6,0))</f>
        <v/>
      </c>
      <c r="BS17" s="17">
        <f>IF(AF17="","",MATCH(AF17,$AW$2:$AW$6,0))</f>
        <v/>
      </c>
      <c r="BT17" s="17">
        <f>IF(AG17="","",MATCH(AG17,$AW$2:$AW$6,0))</f>
        <v/>
      </c>
      <c r="BU17" s="17">
        <f>IF(AH17="","",MATCH(AH17,$AW$2:$AW$6,0))</f>
        <v/>
      </c>
      <c r="BV17" s="17">
        <f>IF(AI17="","",MATCH(AI17,$AW$2:$AW$6,0))</f>
        <v/>
      </c>
      <c r="BW17" s="17">
        <f>IF(AJ17="","",MATCH(AJ17,$AW$2:$AW$6,0))</f>
        <v/>
      </c>
      <c r="BX17" s="17">
        <f>IF(AK17="","",MATCH(AK17,$AW$2:$AW$6,0))</f>
        <v/>
      </c>
      <c r="BY17" s="17">
        <f>IF(AL17="","",MATCH(AL17,$AW$2:$AW$6,0))</f>
        <v/>
      </c>
      <c r="BZ17" s="17">
        <f>IF(AM17="","",MATCH(AM17,$AW$2:$AW$6,0))</f>
        <v/>
      </c>
      <c r="CA17" s="17">
        <f>IF(AN17="","",MATCH(AN17,$AW$2:$AW$6,0))</f>
        <v/>
      </c>
      <c r="CB17" s="17">
        <f>IF(AO17="","",MATCH(AO17,$AW$2:$AW$6,0))</f>
        <v/>
      </c>
      <c r="CC17" s="17">
        <f>IF(AP17="","",MATCH(AP17,$AW$2:$AW$6,0))</f>
        <v/>
      </c>
      <c r="CD17" s="17">
        <f>IF(AQ17="","",MATCH(AQ17,$AW$2:$AW$6,0))</f>
        <v/>
      </c>
      <c r="CE17" s="34" t="n"/>
      <c r="CF17" s="34" t="n"/>
      <c r="CG17" s="34" t="n"/>
      <c r="CH17" s="34" t="n"/>
      <c r="CI17" s="16">
        <f>IF(AR17="","",AR17)</f>
        <v/>
      </c>
      <c r="CJ17" s="16">
        <f>IF(AS17="","",AS17)</f>
        <v/>
      </c>
      <c r="CK17" s="16">
        <f>IF(AT17="","",AT17)</f>
        <v/>
      </c>
      <c r="CL17" s="16">
        <f>IF(AU17="","",AU17)</f>
        <v/>
      </c>
      <c r="CM17" s="35">
        <f>IF(AY17="","",IF(COUNTIF($AY$5:$AY$64,AY17)&gt;1,"중복! 마지막 것만 남기세요",""))</f>
        <v/>
      </c>
    </row>
    <row r="18">
      <c r="AY18" s="16">
        <f>IF(AND(B18="",C18=""),"",TRIM(B18)&amp;" "&amp;TRIM(C18))</f>
        <v/>
      </c>
      <c r="AZ18" s="17">
        <f>IF(AND(B18="",C18=""),"",SUMPRODUCT(--(D18:M18=$D$3:$M$3)))</f>
        <v/>
      </c>
      <c r="BA18" s="17">
        <f>IF(N18="","",MATCH(N18,$AW$2:$AW$6,0))</f>
        <v/>
      </c>
      <c r="BB18" s="17">
        <f>IF(O18="","",MATCH(O18,$AW$2:$AW$6,0))</f>
        <v/>
      </c>
      <c r="BC18" s="17">
        <f>IF(P18="","",MATCH(P18,$AW$2:$AW$6,0))</f>
        <v/>
      </c>
      <c r="BD18" s="17">
        <f>IF(Q18="","",MATCH(Q18,$AW$2:$AW$6,0))</f>
        <v/>
      </c>
      <c r="BE18" s="17">
        <f>IF(R18="","",MATCH(R18,$AW$2:$AW$6,0))</f>
        <v/>
      </c>
      <c r="BF18" s="17">
        <f>IF(S18="","",MATCH(S18,$AW$2:$AW$6,0))</f>
        <v/>
      </c>
      <c r="BG18" s="17">
        <f>IF(T18="","",MATCH(T18,$AW$2:$AW$6,0))</f>
        <v/>
      </c>
      <c r="BH18" s="17">
        <f>IF(U18="","",MATCH(U18,$AW$2:$AW$6,0))</f>
        <v/>
      </c>
      <c r="BI18" s="17">
        <f>IF(V18="","",MATCH(V18,$AW$2:$AW$6,0))</f>
        <v/>
      </c>
      <c r="BJ18" s="17">
        <f>IF(W18="","",MATCH(W18,$AW$2:$AW$6,0))</f>
        <v/>
      </c>
      <c r="BK18" s="17">
        <f>IF(X18="","",MATCH(X18,$AW$2:$AW$6,0))</f>
        <v/>
      </c>
      <c r="BL18" s="17">
        <f>IF(Y18="","",MATCH(Y18,$AW$2:$AW$6,0))</f>
        <v/>
      </c>
      <c r="BM18" s="17">
        <f>IF(Z18="","",MATCH(Z18,$AW$2:$AW$6,0))</f>
        <v/>
      </c>
      <c r="BN18" s="17">
        <f>IF(AA18="","",MATCH(AA18,$AW$2:$AW$6,0))</f>
        <v/>
      </c>
      <c r="BO18" s="17">
        <f>IF(AB18="","",MATCH(AB18,$AW$2:$AW$6,0))</f>
        <v/>
      </c>
      <c r="BP18" s="17">
        <f>IF(AC18="","",MATCH(AC18,$AW$2:$AW$6,0))</f>
        <v/>
      </c>
      <c r="BQ18" s="17">
        <f>IF(AD18="","",MATCH(AD18,$AW$2:$AW$6,0))</f>
        <v/>
      </c>
      <c r="BR18" s="17">
        <f>IF(AE18="","",MATCH(AE18,$AW$2:$AW$6,0))</f>
        <v/>
      </c>
      <c r="BS18" s="17">
        <f>IF(AF18="","",MATCH(AF18,$AW$2:$AW$6,0))</f>
        <v/>
      </c>
      <c r="BT18" s="17">
        <f>IF(AG18="","",MATCH(AG18,$AW$2:$AW$6,0))</f>
        <v/>
      </c>
      <c r="BU18" s="17">
        <f>IF(AH18="","",MATCH(AH18,$AW$2:$AW$6,0))</f>
        <v/>
      </c>
      <c r="BV18" s="17">
        <f>IF(AI18="","",MATCH(AI18,$AW$2:$AW$6,0))</f>
        <v/>
      </c>
      <c r="BW18" s="17">
        <f>IF(AJ18="","",MATCH(AJ18,$AW$2:$AW$6,0))</f>
        <v/>
      </c>
      <c r="BX18" s="17">
        <f>IF(AK18="","",MATCH(AK18,$AW$2:$AW$6,0))</f>
        <v/>
      </c>
      <c r="BY18" s="17">
        <f>IF(AL18="","",MATCH(AL18,$AW$2:$AW$6,0))</f>
        <v/>
      </c>
      <c r="BZ18" s="17">
        <f>IF(AM18="","",MATCH(AM18,$AW$2:$AW$6,0))</f>
        <v/>
      </c>
      <c r="CA18" s="17">
        <f>IF(AN18="","",MATCH(AN18,$AW$2:$AW$6,0))</f>
        <v/>
      </c>
      <c r="CB18" s="17">
        <f>IF(AO18="","",MATCH(AO18,$AW$2:$AW$6,0))</f>
        <v/>
      </c>
      <c r="CC18" s="17">
        <f>IF(AP18="","",MATCH(AP18,$AW$2:$AW$6,0))</f>
        <v/>
      </c>
      <c r="CD18" s="17">
        <f>IF(AQ18="","",MATCH(AQ18,$AW$2:$AW$6,0))</f>
        <v/>
      </c>
      <c r="CE18" s="34" t="n"/>
      <c r="CF18" s="34" t="n"/>
      <c r="CG18" s="34" t="n"/>
      <c r="CH18" s="34" t="n"/>
      <c r="CI18" s="16">
        <f>IF(AR18="","",AR18)</f>
        <v/>
      </c>
      <c r="CJ18" s="16">
        <f>IF(AS18="","",AS18)</f>
        <v/>
      </c>
      <c r="CK18" s="16">
        <f>IF(AT18="","",AT18)</f>
        <v/>
      </c>
      <c r="CL18" s="16">
        <f>IF(AU18="","",AU18)</f>
        <v/>
      </c>
      <c r="CM18" s="35">
        <f>IF(AY18="","",IF(COUNTIF($AY$5:$AY$64,AY18)&gt;1,"중복! 마지막 것만 남기세요",""))</f>
        <v/>
      </c>
    </row>
    <row r="19">
      <c r="AY19" s="16">
        <f>IF(AND(B19="",C19=""),"",TRIM(B19)&amp;" "&amp;TRIM(C19))</f>
        <v/>
      </c>
      <c r="AZ19" s="17">
        <f>IF(AND(B19="",C19=""),"",SUMPRODUCT(--(D19:M19=$D$3:$M$3)))</f>
        <v/>
      </c>
      <c r="BA19" s="17">
        <f>IF(N19="","",MATCH(N19,$AW$2:$AW$6,0))</f>
        <v/>
      </c>
      <c r="BB19" s="17">
        <f>IF(O19="","",MATCH(O19,$AW$2:$AW$6,0))</f>
        <v/>
      </c>
      <c r="BC19" s="17">
        <f>IF(P19="","",MATCH(P19,$AW$2:$AW$6,0))</f>
        <v/>
      </c>
      <c r="BD19" s="17">
        <f>IF(Q19="","",MATCH(Q19,$AW$2:$AW$6,0))</f>
        <v/>
      </c>
      <c r="BE19" s="17">
        <f>IF(R19="","",MATCH(R19,$AW$2:$AW$6,0))</f>
        <v/>
      </c>
      <c r="BF19" s="17">
        <f>IF(S19="","",MATCH(S19,$AW$2:$AW$6,0))</f>
        <v/>
      </c>
      <c r="BG19" s="17">
        <f>IF(T19="","",MATCH(T19,$AW$2:$AW$6,0))</f>
        <v/>
      </c>
      <c r="BH19" s="17">
        <f>IF(U19="","",MATCH(U19,$AW$2:$AW$6,0))</f>
        <v/>
      </c>
      <c r="BI19" s="17">
        <f>IF(V19="","",MATCH(V19,$AW$2:$AW$6,0))</f>
        <v/>
      </c>
      <c r="BJ19" s="17">
        <f>IF(W19="","",MATCH(W19,$AW$2:$AW$6,0))</f>
        <v/>
      </c>
      <c r="BK19" s="17">
        <f>IF(X19="","",MATCH(X19,$AW$2:$AW$6,0))</f>
        <v/>
      </c>
      <c r="BL19" s="17">
        <f>IF(Y19="","",MATCH(Y19,$AW$2:$AW$6,0))</f>
        <v/>
      </c>
      <c r="BM19" s="17">
        <f>IF(Z19="","",MATCH(Z19,$AW$2:$AW$6,0))</f>
        <v/>
      </c>
      <c r="BN19" s="17">
        <f>IF(AA19="","",MATCH(AA19,$AW$2:$AW$6,0))</f>
        <v/>
      </c>
      <c r="BO19" s="17">
        <f>IF(AB19="","",MATCH(AB19,$AW$2:$AW$6,0))</f>
        <v/>
      </c>
      <c r="BP19" s="17">
        <f>IF(AC19="","",MATCH(AC19,$AW$2:$AW$6,0))</f>
        <v/>
      </c>
      <c r="BQ19" s="17">
        <f>IF(AD19="","",MATCH(AD19,$AW$2:$AW$6,0))</f>
        <v/>
      </c>
      <c r="BR19" s="17">
        <f>IF(AE19="","",MATCH(AE19,$AW$2:$AW$6,0))</f>
        <v/>
      </c>
      <c r="BS19" s="17">
        <f>IF(AF19="","",MATCH(AF19,$AW$2:$AW$6,0))</f>
        <v/>
      </c>
      <c r="BT19" s="17">
        <f>IF(AG19="","",MATCH(AG19,$AW$2:$AW$6,0))</f>
        <v/>
      </c>
      <c r="BU19" s="17">
        <f>IF(AH19="","",MATCH(AH19,$AW$2:$AW$6,0))</f>
        <v/>
      </c>
      <c r="BV19" s="17">
        <f>IF(AI19="","",MATCH(AI19,$AW$2:$AW$6,0))</f>
        <v/>
      </c>
      <c r="BW19" s="17">
        <f>IF(AJ19="","",MATCH(AJ19,$AW$2:$AW$6,0))</f>
        <v/>
      </c>
      <c r="BX19" s="17">
        <f>IF(AK19="","",MATCH(AK19,$AW$2:$AW$6,0))</f>
        <v/>
      </c>
      <c r="BY19" s="17">
        <f>IF(AL19="","",MATCH(AL19,$AW$2:$AW$6,0))</f>
        <v/>
      </c>
      <c r="BZ19" s="17">
        <f>IF(AM19="","",MATCH(AM19,$AW$2:$AW$6,0))</f>
        <v/>
      </c>
      <c r="CA19" s="17">
        <f>IF(AN19="","",MATCH(AN19,$AW$2:$AW$6,0))</f>
        <v/>
      </c>
      <c r="CB19" s="17">
        <f>IF(AO19="","",MATCH(AO19,$AW$2:$AW$6,0))</f>
        <v/>
      </c>
      <c r="CC19" s="17">
        <f>IF(AP19="","",MATCH(AP19,$AW$2:$AW$6,0))</f>
        <v/>
      </c>
      <c r="CD19" s="17">
        <f>IF(AQ19="","",MATCH(AQ19,$AW$2:$AW$6,0))</f>
        <v/>
      </c>
      <c r="CE19" s="34" t="n"/>
      <c r="CF19" s="34" t="n"/>
      <c r="CG19" s="34" t="n"/>
      <c r="CH19" s="34" t="n"/>
      <c r="CI19" s="16">
        <f>IF(AR19="","",AR19)</f>
        <v/>
      </c>
      <c r="CJ19" s="16">
        <f>IF(AS19="","",AS19)</f>
        <v/>
      </c>
      <c r="CK19" s="16">
        <f>IF(AT19="","",AT19)</f>
        <v/>
      </c>
      <c r="CL19" s="16">
        <f>IF(AU19="","",AU19)</f>
        <v/>
      </c>
      <c r="CM19" s="35">
        <f>IF(AY19="","",IF(COUNTIF($AY$5:$AY$64,AY19)&gt;1,"중복! 마지막 것만 남기세요",""))</f>
        <v/>
      </c>
    </row>
    <row r="20">
      <c r="AY20" s="16">
        <f>IF(AND(B20="",C20=""),"",TRIM(B20)&amp;" "&amp;TRIM(C20))</f>
        <v/>
      </c>
      <c r="AZ20" s="17">
        <f>IF(AND(B20="",C20=""),"",SUMPRODUCT(--(D20:M20=$D$3:$M$3)))</f>
        <v/>
      </c>
      <c r="BA20" s="17">
        <f>IF(N20="","",MATCH(N20,$AW$2:$AW$6,0))</f>
        <v/>
      </c>
      <c r="BB20" s="17">
        <f>IF(O20="","",MATCH(O20,$AW$2:$AW$6,0))</f>
        <v/>
      </c>
      <c r="BC20" s="17">
        <f>IF(P20="","",MATCH(P20,$AW$2:$AW$6,0))</f>
        <v/>
      </c>
      <c r="BD20" s="17">
        <f>IF(Q20="","",MATCH(Q20,$AW$2:$AW$6,0))</f>
        <v/>
      </c>
      <c r="BE20" s="17">
        <f>IF(R20="","",MATCH(R20,$AW$2:$AW$6,0))</f>
        <v/>
      </c>
      <c r="BF20" s="17">
        <f>IF(S20="","",MATCH(S20,$AW$2:$AW$6,0))</f>
        <v/>
      </c>
      <c r="BG20" s="17">
        <f>IF(T20="","",MATCH(T20,$AW$2:$AW$6,0))</f>
        <v/>
      </c>
      <c r="BH20" s="17">
        <f>IF(U20="","",MATCH(U20,$AW$2:$AW$6,0))</f>
        <v/>
      </c>
      <c r="BI20" s="17">
        <f>IF(V20="","",MATCH(V20,$AW$2:$AW$6,0))</f>
        <v/>
      </c>
      <c r="BJ20" s="17">
        <f>IF(W20="","",MATCH(W20,$AW$2:$AW$6,0))</f>
        <v/>
      </c>
      <c r="BK20" s="17">
        <f>IF(X20="","",MATCH(X20,$AW$2:$AW$6,0))</f>
        <v/>
      </c>
      <c r="BL20" s="17">
        <f>IF(Y20="","",MATCH(Y20,$AW$2:$AW$6,0))</f>
        <v/>
      </c>
      <c r="BM20" s="17">
        <f>IF(Z20="","",MATCH(Z20,$AW$2:$AW$6,0))</f>
        <v/>
      </c>
      <c r="BN20" s="17">
        <f>IF(AA20="","",MATCH(AA20,$AW$2:$AW$6,0))</f>
        <v/>
      </c>
      <c r="BO20" s="17">
        <f>IF(AB20="","",MATCH(AB20,$AW$2:$AW$6,0))</f>
        <v/>
      </c>
      <c r="BP20" s="17">
        <f>IF(AC20="","",MATCH(AC20,$AW$2:$AW$6,0))</f>
        <v/>
      </c>
      <c r="BQ20" s="17">
        <f>IF(AD20="","",MATCH(AD20,$AW$2:$AW$6,0))</f>
        <v/>
      </c>
      <c r="BR20" s="17">
        <f>IF(AE20="","",MATCH(AE20,$AW$2:$AW$6,0))</f>
        <v/>
      </c>
      <c r="BS20" s="17">
        <f>IF(AF20="","",MATCH(AF20,$AW$2:$AW$6,0))</f>
        <v/>
      </c>
      <c r="BT20" s="17">
        <f>IF(AG20="","",MATCH(AG20,$AW$2:$AW$6,0))</f>
        <v/>
      </c>
      <c r="BU20" s="17">
        <f>IF(AH20="","",MATCH(AH20,$AW$2:$AW$6,0))</f>
        <v/>
      </c>
      <c r="BV20" s="17">
        <f>IF(AI20="","",MATCH(AI20,$AW$2:$AW$6,0))</f>
        <v/>
      </c>
      <c r="BW20" s="17">
        <f>IF(AJ20="","",MATCH(AJ20,$AW$2:$AW$6,0))</f>
        <v/>
      </c>
      <c r="BX20" s="17">
        <f>IF(AK20="","",MATCH(AK20,$AW$2:$AW$6,0))</f>
        <v/>
      </c>
      <c r="BY20" s="17">
        <f>IF(AL20="","",MATCH(AL20,$AW$2:$AW$6,0))</f>
        <v/>
      </c>
      <c r="BZ20" s="17">
        <f>IF(AM20="","",MATCH(AM20,$AW$2:$AW$6,0))</f>
        <v/>
      </c>
      <c r="CA20" s="17">
        <f>IF(AN20="","",MATCH(AN20,$AW$2:$AW$6,0))</f>
        <v/>
      </c>
      <c r="CB20" s="17">
        <f>IF(AO20="","",MATCH(AO20,$AW$2:$AW$6,0))</f>
        <v/>
      </c>
      <c r="CC20" s="17">
        <f>IF(AP20="","",MATCH(AP20,$AW$2:$AW$6,0))</f>
        <v/>
      </c>
      <c r="CD20" s="17">
        <f>IF(AQ20="","",MATCH(AQ20,$AW$2:$AW$6,0))</f>
        <v/>
      </c>
      <c r="CE20" s="34" t="n"/>
      <c r="CF20" s="34" t="n"/>
      <c r="CG20" s="34" t="n"/>
      <c r="CH20" s="34" t="n"/>
      <c r="CI20" s="16">
        <f>IF(AR20="","",AR20)</f>
        <v/>
      </c>
      <c r="CJ20" s="16">
        <f>IF(AS20="","",AS20)</f>
        <v/>
      </c>
      <c r="CK20" s="16">
        <f>IF(AT20="","",AT20)</f>
        <v/>
      </c>
      <c r="CL20" s="16">
        <f>IF(AU20="","",AU20)</f>
        <v/>
      </c>
      <c r="CM20" s="35">
        <f>IF(AY20="","",IF(COUNTIF($AY$5:$AY$64,AY20)&gt;1,"중복! 마지막 것만 남기세요",""))</f>
        <v/>
      </c>
    </row>
    <row r="21">
      <c r="AY21" s="16">
        <f>IF(AND(B21="",C21=""),"",TRIM(B21)&amp;" "&amp;TRIM(C21))</f>
        <v/>
      </c>
      <c r="AZ21" s="17">
        <f>IF(AND(B21="",C21=""),"",SUMPRODUCT(--(D21:M21=$D$3:$M$3)))</f>
        <v/>
      </c>
      <c r="BA21" s="17">
        <f>IF(N21="","",MATCH(N21,$AW$2:$AW$6,0))</f>
        <v/>
      </c>
      <c r="BB21" s="17">
        <f>IF(O21="","",MATCH(O21,$AW$2:$AW$6,0))</f>
        <v/>
      </c>
      <c r="BC21" s="17">
        <f>IF(P21="","",MATCH(P21,$AW$2:$AW$6,0))</f>
        <v/>
      </c>
      <c r="BD21" s="17">
        <f>IF(Q21="","",MATCH(Q21,$AW$2:$AW$6,0))</f>
        <v/>
      </c>
      <c r="BE21" s="17">
        <f>IF(R21="","",MATCH(R21,$AW$2:$AW$6,0))</f>
        <v/>
      </c>
      <c r="BF21" s="17">
        <f>IF(S21="","",MATCH(S21,$AW$2:$AW$6,0))</f>
        <v/>
      </c>
      <c r="BG21" s="17">
        <f>IF(T21="","",MATCH(T21,$AW$2:$AW$6,0))</f>
        <v/>
      </c>
      <c r="BH21" s="17">
        <f>IF(U21="","",MATCH(U21,$AW$2:$AW$6,0))</f>
        <v/>
      </c>
      <c r="BI21" s="17">
        <f>IF(V21="","",MATCH(V21,$AW$2:$AW$6,0))</f>
        <v/>
      </c>
      <c r="BJ21" s="17">
        <f>IF(W21="","",MATCH(W21,$AW$2:$AW$6,0))</f>
        <v/>
      </c>
      <c r="BK21" s="17">
        <f>IF(X21="","",MATCH(X21,$AW$2:$AW$6,0))</f>
        <v/>
      </c>
      <c r="BL21" s="17">
        <f>IF(Y21="","",MATCH(Y21,$AW$2:$AW$6,0))</f>
        <v/>
      </c>
      <c r="BM21" s="17">
        <f>IF(Z21="","",MATCH(Z21,$AW$2:$AW$6,0))</f>
        <v/>
      </c>
      <c r="BN21" s="17">
        <f>IF(AA21="","",MATCH(AA21,$AW$2:$AW$6,0))</f>
        <v/>
      </c>
      <c r="BO21" s="17">
        <f>IF(AB21="","",MATCH(AB21,$AW$2:$AW$6,0))</f>
        <v/>
      </c>
      <c r="BP21" s="17">
        <f>IF(AC21="","",MATCH(AC21,$AW$2:$AW$6,0))</f>
        <v/>
      </c>
      <c r="BQ21" s="17">
        <f>IF(AD21="","",MATCH(AD21,$AW$2:$AW$6,0))</f>
        <v/>
      </c>
      <c r="BR21" s="17">
        <f>IF(AE21="","",MATCH(AE21,$AW$2:$AW$6,0))</f>
        <v/>
      </c>
      <c r="BS21" s="17">
        <f>IF(AF21="","",MATCH(AF21,$AW$2:$AW$6,0))</f>
        <v/>
      </c>
      <c r="BT21" s="17">
        <f>IF(AG21="","",MATCH(AG21,$AW$2:$AW$6,0))</f>
        <v/>
      </c>
      <c r="BU21" s="17">
        <f>IF(AH21="","",MATCH(AH21,$AW$2:$AW$6,0))</f>
        <v/>
      </c>
      <c r="BV21" s="17">
        <f>IF(AI21="","",MATCH(AI21,$AW$2:$AW$6,0))</f>
        <v/>
      </c>
      <c r="BW21" s="17">
        <f>IF(AJ21="","",MATCH(AJ21,$AW$2:$AW$6,0))</f>
        <v/>
      </c>
      <c r="BX21" s="17">
        <f>IF(AK21="","",MATCH(AK21,$AW$2:$AW$6,0))</f>
        <v/>
      </c>
      <c r="BY21" s="17">
        <f>IF(AL21="","",MATCH(AL21,$AW$2:$AW$6,0))</f>
        <v/>
      </c>
      <c r="BZ21" s="17">
        <f>IF(AM21="","",MATCH(AM21,$AW$2:$AW$6,0))</f>
        <v/>
      </c>
      <c r="CA21" s="17">
        <f>IF(AN21="","",MATCH(AN21,$AW$2:$AW$6,0))</f>
        <v/>
      </c>
      <c r="CB21" s="17">
        <f>IF(AO21="","",MATCH(AO21,$AW$2:$AW$6,0))</f>
        <v/>
      </c>
      <c r="CC21" s="17">
        <f>IF(AP21="","",MATCH(AP21,$AW$2:$AW$6,0))</f>
        <v/>
      </c>
      <c r="CD21" s="17">
        <f>IF(AQ21="","",MATCH(AQ21,$AW$2:$AW$6,0))</f>
        <v/>
      </c>
      <c r="CE21" s="34" t="n"/>
      <c r="CF21" s="34" t="n"/>
      <c r="CG21" s="34" t="n"/>
      <c r="CH21" s="34" t="n"/>
      <c r="CI21" s="16">
        <f>IF(AR21="","",AR21)</f>
        <v/>
      </c>
      <c r="CJ21" s="16">
        <f>IF(AS21="","",AS21)</f>
        <v/>
      </c>
      <c r="CK21" s="16">
        <f>IF(AT21="","",AT21)</f>
        <v/>
      </c>
      <c r="CL21" s="16">
        <f>IF(AU21="","",AU21)</f>
        <v/>
      </c>
      <c r="CM21" s="35">
        <f>IF(AY21="","",IF(COUNTIF($AY$5:$AY$64,AY21)&gt;1,"중복! 마지막 것만 남기세요",""))</f>
        <v/>
      </c>
    </row>
    <row r="22">
      <c r="AY22" s="16">
        <f>IF(AND(B22="",C22=""),"",TRIM(B22)&amp;" "&amp;TRIM(C22))</f>
        <v/>
      </c>
      <c r="AZ22" s="17">
        <f>IF(AND(B22="",C22=""),"",SUMPRODUCT(--(D22:M22=$D$3:$M$3)))</f>
        <v/>
      </c>
      <c r="BA22" s="17">
        <f>IF(N22="","",MATCH(N22,$AW$2:$AW$6,0))</f>
        <v/>
      </c>
      <c r="BB22" s="17">
        <f>IF(O22="","",MATCH(O22,$AW$2:$AW$6,0))</f>
        <v/>
      </c>
      <c r="BC22" s="17">
        <f>IF(P22="","",MATCH(P22,$AW$2:$AW$6,0))</f>
        <v/>
      </c>
      <c r="BD22" s="17">
        <f>IF(Q22="","",MATCH(Q22,$AW$2:$AW$6,0))</f>
        <v/>
      </c>
      <c r="BE22" s="17">
        <f>IF(R22="","",MATCH(R22,$AW$2:$AW$6,0))</f>
        <v/>
      </c>
      <c r="BF22" s="17">
        <f>IF(S22="","",MATCH(S22,$AW$2:$AW$6,0))</f>
        <v/>
      </c>
      <c r="BG22" s="17">
        <f>IF(T22="","",MATCH(T22,$AW$2:$AW$6,0))</f>
        <v/>
      </c>
      <c r="BH22" s="17">
        <f>IF(U22="","",MATCH(U22,$AW$2:$AW$6,0))</f>
        <v/>
      </c>
      <c r="BI22" s="17">
        <f>IF(V22="","",MATCH(V22,$AW$2:$AW$6,0))</f>
        <v/>
      </c>
      <c r="BJ22" s="17">
        <f>IF(W22="","",MATCH(W22,$AW$2:$AW$6,0))</f>
        <v/>
      </c>
      <c r="BK22" s="17">
        <f>IF(X22="","",MATCH(X22,$AW$2:$AW$6,0))</f>
        <v/>
      </c>
      <c r="BL22" s="17">
        <f>IF(Y22="","",MATCH(Y22,$AW$2:$AW$6,0))</f>
        <v/>
      </c>
      <c r="BM22" s="17">
        <f>IF(Z22="","",MATCH(Z22,$AW$2:$AW$6,0))</f>
        <v/>
      </c>
      <c r="BN22" s="17">
        <f>IF(AA22="","",MATCH(AA22,$AW$2:$AW$6,0))</f>
        <v/>
      </c>
      <c r="BO22" s="17">
        <f>IF(AB22="","",MATCH(AB22,$AW$2:$AW$6,0))</f>
        <v/>
      </c>
      <c r="BP22" s="17">
        <f>IF(AC22="","",MATCH(AC22,$AW$2:$AW$6,0))</f>
        <v/>
      </c>
      <c r="BQ22" s="17">
        <f>IF(AD22="","",MATCH(AD22,$AW$2:$AW$6,0))</f>
        <v/>
      </c>
      <c r="BR22" s="17">
        <f>IF(AE22="","",MATCH(AE22,$AW$2:$AW$6,0))</f>
        <v/>
      </c>
      <c r="BS22" s="17">
        <f>IF(AF22="","",MATCH(AF22,$AW$2:$AW$6,0))</f>
        <v/>
      </c>
      <c r="BT22" s="17">
        <f>IF(AG22="","",MATCH(AG22,$AW$2:$AW$6,0))</f>
        <v/>
      </c>
      <c r="BU22" s="17">
        <f>IF(AH22="","",MATCH(AH22,$AW$2:$AW$6,0))</f>
        <v/>
      </c>
      <c r="BV22" s="17">
        <f>IF(AI22="","",MATCH(AI22,$AW$2:$AW$6,0))</f>
        <v/>
      </c>
      <c r="BW22" s="17">
        <f>IF(AJ22="","",MATCH(AJ22,$AW$2:$AW$6,0))</f>
        <v/>
      </c>
      <c r="BX22" s="17">
        <f>IF(AK22="","",MATCH(AK22,$AW$2:$AW$6,0))</f>
        <v/>
      </c>
      <c r="BY22" s="17">
        <f>IF(AL22="","",MATCH(AL22,$AW$2:$AW$6,0))</f>
        <v/>
      </c>
      <c r="BZ22" s="17">
        <f>IF(AM22="","",MATCH(AM22,$AW$2:$AW$6,0))</f>
        <v/>
      </c>
      <c r="CA22" s="17">
        <f>IF(AN22="","",MATCH(AN22,$AW$2:$AW$6,0))</f>
        <v/>
      </c>
      <c r="CB22" s="17">
        <f>IF(AO22="","",MATCH(AO22,$AW$2:$AW$6,0))</f>
        <v/>
      </c>
      <c r="CC22" s="17">
        <f>IF(AP22="","",MATCH(AP22,$AW$2:$AW$6,0))</f>
        <v/>
      </c>
      <c r="CD22" s="17">
        <f>IF(AQ22="","",MATCH(AQ22,$AW$2:$AW$6,0))</f>
        <v/>
      </c>
      <c r="CE22" s="34" t="n"/>
      <c r="CF22" s="34" t="n"/>
      <c r="CG22" s="34" t="n"/>
      <c r="CH22" s="34" t="n"/>
      <c r="CI22" s="16">
        <f>IF(AR22="","",AR22)</f>
        <v/>
      </c>
      <c r="CJ22" s="16">
        <f>IF(AS22="","",AS22)</f>
        <v/>
      </c>
      <c r="CK22" s="16">
        <f>IF(AT22="","",AT22)</f>
        <v/>
      </c>
      <c r="CL22" s="16">
        <f>IF(AU22="","",AU22)</f>
        <v/>
      </c>
      <c r="CM22" s="35">
        <f>IF(AY22="","",IF(COUNTIF($AY$5:$AY$64,AY22)&gt;1,"중복! 마지막 것만 남기세요",""))</f>
        <v/>
      </c>
    </row>
    <row r="23">
      <c r="AY23" s="16">
        <f>IF(AND(B23="",C23=""),"",TRIM(B23)&amp;" "&amp;TRIM(C23))</f>
        <v/>
      </c>
      <c r="AZ23" s="17">
        <f>IF(AND(B23="",C23=""),"",SUMPRODUCT(--(D23:M23=$D$3:$M$3)))</f>
        <v/>
      </c>
      <c r="BA23" s="17">
        <f>IF(N23="","",MATCH(N23,$AW$2:$AW$6,0))</f>
        <v/>
      </c>
      <c r="BB23" s="17">
        <f>IF(O23="","",MATCH(O23,$AW$2:$AW$6,0))</f>
        <v/>
      </c>
      <c r="BC23" s="17">
        <f>IF(P23="","",MATCH(P23,$AW$2:$AW$6,0))</f>
        <v/>
      </c>
      <c r="BD23" s="17">
        <f>IF(Q23="","",MATCH(Q23,$AW$2:$AW$6,0))</f>
        <v/>
      </c>
      <c r="BE23" s="17">
        <f>IF(R23="","",MATCH(R23,$AW$2:$AW$6,0))</f>
        <v/>
      </c>
      <c r="BF23" s="17">
        <f>IF(S23="","",MATCH(S23,$AW$2:$AW$6,0))</f>
        <v/>
      </c>
      <c r="BG23" s="17">
        <f>IF(T23="","",MATCH(T23,$AW$2:$AW$6,0))</f>
        <v/>
      </c>
      <c r="BH23" s="17">
        <f>IF(U23="","",MATCH(U23,$AW$2:$AW$6,0))</f>
        <v/>
      </c>
      <c r="BI23" s="17">
        <f>IF(V23="","",MATCH(V23,$AW$2:$AW$6,0))</f>
        <v/>
      </c>
      <c r="BJ23" s="17">
        <f>IF(W23="","",MATCH(W23,$AW$2:$AW$6,0))</f>
        <v/>
      </c>
      <c r="BK23" s="17">
        <f>IF(X23="","",MATCH(X23,$AW$2:$AW$6,0))</f>
        <v/>
      </c>
      <c r="BL23" s="17">
        <f>IF(Y23="","",MATCH(Y23,$AW$2:$AW$6,0))</f>
        <v/>
      </c>
      <c r="BM23" s="17">
        <f>IF(Z23="","",MATCH(Z23,$AW$2:$AW$6,0))</f>
        <v/>
      </c>
      <c r="BN23" s="17">
        <f>IF(AA23="","",MATCH(AA23,$AW$2:$AW$6,0))</f>
        <v/>
      </c>
      <c r="BO23" s="17">
        <f>IF(AB23="","",MATCH(AB23,$AW$2:$AW$6,0))</f>
        <v/>
      </c>
      <c r="BP23" s="17">
        <f>IF(AC23="","",MATCH(AC23,$AW$2:$AW$6,0))</f>
        <v/>
      </c>
      <c r="BQ23" s="17">
        <f>IF(AD23="","",MATCH(AD23,$AW$2:$AW$6,0))</f>
        <v/>
      </c>
      <c r="BR23" s="17">
        <f>IF(AE23="","",MATCH(AE23,$AW$2:$AW$6,0))</f>
        <v/>
      </c>
      <c r="BS23" s="17">
        <f>IF(AF23="","",MATCH(AF23,$AW$2:$AW$6,0))</f>
        <v/>
      </c>
      <c r="BT23" s="17">
        <f>IF(AG23="","",MATCH(AG23,$AW$2:$AW$6,0))</f>
        <v/>
      </c>
      <c r="BU23" s="17">
        <f>IF(AH23="","",MATCH(AH23,$AW$2:$AW$6,0))</f>
        <v/>
      </c>
      <c r="BV23" s="17">
        <f>IF(AI23="","",MATCH(AI23,$AW$2:$AW$6,0))</f>
        <v/>
      </c>
      <c r="BW23" s="17">
        <f>IF(AJ23="","",MATCH(AJ23,$AW$2:$AW$6,0))</f>
        <v/>
      </c>
      <c r="BX23" s="17">
        <f>IF(AK23="","",MATCH(AK23,$AW$2:$AW$6,0))</f>
        <v/>
      </c>
      <c r="BY23" s="17">
        <f>IF(AL23="","",MATCH(AL23,$AW$2:$AW$6,0))</f>
        <v/>
      </c>
      <c r="BZ23" s="17">
        <f>IF(AM23="","",MATCH(AM23,$AW$2:$AW$6,0))</f>
        <v/>
      </c>
      <c r="CA23" s="17">
        <f>IF(AN23="","",MATCH(AN23,$AW$2:$AW$6,0))</f>
        <v/>
      </c>
      <c r="CB23" s="17">
        <f>IF(AO23="","",MATCH(AO23,$AW$2:$AW$6,0))</f>
        <v/>
      </c>
      <c r="CC23" s="17">
        <f>IF(AP23="","",MATCH(AP23,$AW$2:$AW$6,0))</f>
        <v/>
      </c>
      <c r="CD23" s="17">
        <f>IF(AQ23="","",MATCH(AQ23,$AW$2:$AW$6,0))</f>
        <v/>
      </c>
      <c r="CE23" s="34" t="n"/>
      <c r="CF23" s="34" t="n"/>
      <c r="CG23" s="34" t="n"/>
      <c r="CH23" s="34" t="n"/>
      <c r="CI23" s="16">
        <f>IF(AR23="","",AR23)</f>
        <v/>
      </c>
      <c r="CJ23" s="16">
        <f>IF(AS23="","",AS23)</f>
        <v/>
      </c>
      <c r="CK23" s="16">
        <f>IF(AT23="","",AT23)</f>
        <v/>
      </c>
      <c r="CL23" s="16">
        <f>IF(AU23="","",AU23)</f>
        <v/>
      </c>
      <c r="CM23" s="35">
        <f>IF(AY23="","",IF(COUNTIF($AY$5:$AY$64,AY23)&gt;1,"중복! 마지막 것만 남기세요",""))</f>
        <v/>
      </c>
    </row>
    <row r="24">
      <c r="AY24" s="16">
        <f>IF(AND(B24="",C24=""),"",TRIM(B24)&amp;" "&amp;TRIM(C24))</f>
        <v/>
      </c>
      <c r="AZ24" s="17">
        <f>IF(AND(B24="",C24=""),"",SUMPRODUCT(--(D24:M24=$D$3:$M$3)))</f>
        <v/>
      </c>
      <c r="BA24" s="17">
        <f>IF(N24="","",MATCH(N24,$AW$2:$AW$6,0))</f>
        <v/>
      </c>
      <c r="BB24" s="17">
        <f>IF(O24="","",MATCH(O24,$AW$2:$AW$6,0))</f>
        <v/>
      </c>
      <c r="BC24" s="17">
        <f>IF(P24="","",MATCH(P24,$AW$2:$AW$6,0))</f>
        <v/>
      </c>
      <c r="BD24" s="17">
        <f>IF(Q24="","",MATCH(Q24,$AW$2:$AW$6,0))</f>
        <v/>
      </c>
      <c r="BE24" s="17">
        <f>IF(R24="","",MATCH(R24,$AW$2:$AW$6,0))</f>
        <v/>
      </c>
      <c r="BF24" s="17">
        <f>IF(S24="","",MATCH(S24,$AW$2:$AW$6,0))</f>
        <v/>
      </c>
      <c r="BG24" s="17">
        <f>IF(T24="","",MATCH(T24,$AW$2:$AW$6,0))</f>
        <v/>
      </c>
      <c r="BH24" s="17">
        <f>IF(U24="","",MATCH(U24,$AW$2:$AW$6,0))</f>
        <v/>
      </c>
      <c r="BI24" s="17">
        <f>IF(V24="","",MATCH(V24,$AW$2:$AW$6,0))</f>
        <v/>
      </c>
      <c r="BJ24" s="17">
        <f>IF(W24="","",MATCH(W24,$AW$2:$AW$6,0))</f>
        <v/>
      </c>
      <c r="BK24" s="17">
        <f>IF(X24="","",MATCH(X24,$AW$2:$AW$6,0))</f>
        <v/>
      </c>
      <c r="BL24" s="17">
        <f>IF(Y24="","",MATCH(Y24,$AW$2:$AW$6,0))</f>
        <v/>
      </c>
      <c r="BM24" s="17">
        <f>IF(Z24="","",MATCH(Z24,$AW$2:$AW$6,0))</f>
        <v/>
      </c>
      <c r="BN24" s="17">
        <f>IF(AA24="","",MATCH(AA24,$AW$2:$AW$6,0))</f>
        <v/>
      </c>
      <c r="BO24" s="17">
        <f>IF(AB24="","",MATCH(AB24,$AW$2:$AW$6,0))</f>
        <v/>
      </c>
      <c r="BP24" s="17">
        <f>IF(AC24="","",MATCH(AC24,$AW$2:$AW$6,0))</f>
        <v/>
      </c>
      <c r="BQ24" s="17">
        <f>IF(AD24="","",MATCH(AD24,$AW$2:$AW$6,0))</f>
        <v/>
      </c>
      <c r="BR24" s="17">
        <f>IF(AE24="","",MATCH(AE24,$AW$2:$AW$6,0))</f>
        <v/>
      </c>
      <c r="BS24" s="17">
        <f>IF(AF24="","",MATCH(AF24,$AW$2:$AW$6,0))</f>
        <v/>
      </c>
      <c r="BT24" s="17">
        <f>IF(AG24="","",MATCH(AG24,$AW$2:$AW$6,0))</f>
        <v/>
      </c>
      <c r="BU24" s="17">
        <f>IF(AH24="","",MATCH(AH24,$AW$2:$AW$6,0))</f>
        <v/>
      </c>
      <c r="BV24" s="17">
        <f>IF(AI24="","",MATCH(AI24,$AW$2:$AW$6,0))</f>
        <v/>
      </c>
      <c r="BW24" s="17">
        <f>IF(AJ24="","",MATCH(AJ24,$AW$2:$AW$6,0))</f>
        <v/>
      </c>
      <c r="BX24" s="17">
        <f>IF(AK24="","",MATCH(AK24,$AW$2:$AW$6,0))</f>
        <v/>
      </c>
      <c r="BY24" s="17">
        <f>IF(AL24="","",MATCH(AL24,$AW$2:$AW$6,0))</f>
        <v/>
      </c>
      <c r="BZ24" s="17">
        <f>IF(AM24="","",MATCH(AM24,$AW$2:$AW$6,0))</f>
        <v/>
      </c>
      <c r="CA24" s="17">
        <f>IF(AN24="","",MATCH(AN24,$AW$2:$AW$6,0))</f>
        <v/>
      </c>
      <c r="CB24" s="17">
        <f>IF(AO24="","",MATCH(AO24,$AW$2:$AW$6,0))</f>
        <v/>
      </c>
      <c r="CC24" s="17">
        <f>IF(AP24="","",MATCH(AP24,$AW$2:$AW$6,0))</f>
        <v/>
      </c>
      <c r="CD24" s="17">
        <f>IF(AQ24="","",MATCH(AQ24,$AW$2:$AW$6,0))</f>
        <v/>
      </c>
      <c r="CE24" s="34" t="n"/>
      <c r="CF24" s="34" t="n"/>
      <c r="CG24" s="34" t="n"/>
      <c r="CH24" s="34" t="n"/>
      <c r="CI24" s="16">
        <f>IF(AR24="","",AR24)</f>
        <v/>
      </c>
      <c r="CJ24" s="16">
        <f>IF(AS24="","",AS24)</f>
        <v/>
      </c>
      <c r="CK24" s="16">
        <f>IF(AT24="","",AT24)</f>
        <v/>
      </c>
      <c r="CL24" s="16">
        <f>IF(AU24="","",AU24)</f>
        <v/>
      </c>
      <c r="CM24" s="35">
        <f>IF(AY24="","",IF(COUNTIF($AY$5:$AY$64,AY24)&gt;1,"중복! 마지막 것만 남기세요",""))</f>
        <v/>
      </c>
    </row>
    <row r="25">
      <c r="AY25" s="16">
        <f>IF(AND(B25="",C25=""),"",TRIM(B25)&amp;" "&amp;TRIM(C25))</f>
        <v/>
      </c>
      <c r="AZ25" s="17">
        <f>IF(AND(B25="",C25=""),"",SUMPRODUCT(--(D25:M25=$D$3:$M$3)))</f>
        <v/>
      </c>
      <c r="BA25" s="17">
        <f>IF(N25="","",MATCH(N25,$AW$2:$AW$6,0))</f>
        <v/>
      </c>
      <c r="BB25" s="17">
        <f>IF(O25="","",MATCH(O25,$AW$2:$AW$6,0))</f>
        <v/>
      </c>
      <c r="BC25" s="17">
        <f>IF(P25="","",MATCH(P25,$AW$2:$AW$6,0))</f>
        <v/>
      </c>
      <c r="BD25" s="17">
        <f>IF(Q25="","",MATCH(Q25,$AW$2:$AW$6,0))</f>
        <v/>
      </c>
      <c r="BE25" s="17">
        <f>IF(R25="","",MATCH(R25,$AW$2:$AW$6,0))</f>
        <v/>
      </c>
      <c r="BF25" s="17">
        <f>IF(S25="","",MATCH(S25,$AW$2:$AW$6,0))</f>
        <v/>
      </c>
      <c r="BG25" s="17">
        <f>IF(T25="","",MATCH(T25,$AW$2:$AW$6,0))</f>
        <v/>
      </c>
      <c r="BH25" s="17">
        <f>IF(U25="","",MATCH(U25,$AW$2:$AW$6,0))</f>
        <v/>
      </c>
      <c r="BI25" s="17">
        <f>IF(V25="","",MATCH(V25,$AW$2:$AW$6,0))</f>
        <v/>
      </c>
      <c r="BJ25" s="17">
        <f>IF(W25="","",MATCH(W25,$AW$2:$AW$6,0))</f>
        <v/>
      </c>
      <c r="BK25" s="17">
        <f>IF(X25="","",MATCH(X25,$AW$2:$AW$6,0))</f>
        <v/>
      </c>
      <c r="BL25" s="17">
        <f>IF(Y25="","",MATCH(Y25,$AW$2:$AW$6,0))</f>
        <v/>
      </c>
      <c r="BM25" s="17">
        <f>IF(Z25="","",MATCH(Z25,$AW$2:$AW$6,0))</f>
        <v/>
      </c>
      <c r="BN25" s="17">
        <f>IF(AA25="","",MATCH(AA25,$AW$2:$AW$6,0))</f>
        <v/>
      </c>
      <c r="BO25" s="17">
        <f>IF(AB25="","",MATCH(AB25,$AW$2:$AW$6,0))</f>
        <v/>
      </c>
      <c r="BP25" s="17">
        <f>IF(AC25="","",MATCH(AC25,$AW$2:$AW$6,0))</f>
        <v/>
      </c>
      <c r="BQ25" s="17">
        <f>IF(AD25="","",MATCH(AD25,$AW$2:$AW$6,0))</f>
        <v/>
      </c>
      <c r="BR25" s="17">
        <f>IF(AE25="","",MATCH(AE25,$AW$2:$AW$6,0))</f>
        <v/>
      </c>
      <c r="BS25" s="17">
        <f>IF(AF25="","",MATCH(AF25,$AW$2:$AW$6,0))</f>
        <v/>
      </c>
      <c r="BT25" s="17">
        <f>IF(AG25="","",MATCH(AG25,$AW$2:$AW$6,0))</f>
        <v/>
      </c>
      <c r="BU25" s="17">
        <f>IF(AH25="","",MATCH(AH25,$AW$2:$AW$6,0))</f>
        <v/>
      </c>
      <c r="BV25" s="17">
        <f>IF(AI25="","",MATCH(AI25,$AW$2:$AW$6,0))</f>
        <v/>
      </c>
      <c r="BW25" s="17">
        <f>IF(AJ25="","",MATCH(AJ25,$AW$2:$AW$6,0))</f>
        <v/>
      </c>
      <c r="BX25" s="17">
        <f>IF(AK25="","",MATCH(AK25,$AW$2:$AW$6,0))</f>
        <v/>
      </c>
      <c r="BY25" s="17">
        <f>IF(AL25="","",MATCH(AL25,$AW$2:$AW$6,0))</f>
        <v/>
      </c>
      <c r="BZ25" s="17">
        <f>IF(AM25="","",MATCH(AM25,$AW$2:$AW$6,0))</f>
        <v/>
      </c>
      <c r="CA25" s="17">
        <f>IF(AN25="","",MATCH(AN25,$AW$2:$AW$6,0))</f>
        <v/>
      </c>
      <c r="CB25" s="17">
        <f>IF(AO25="","",MATCH(AO25,$AW$2:$AW$6,0))</f>
        <v/>
      </c>
      <c r="CC25" s="17">
        <f>IF(AP25="","",MATCH(AP25,$AW$2:$AW$6,0))</f>
        <v/>
      </c>
      <c r="CD25" s="17">
        <f>IF(AQ25="","",MATCH(AQ25,$AW$2:$AW$6,0))</f>
        <v/>
      </c>
      <c r="CE25" s="34" t="n"/>
      <c r="CF25" s="34" t="n"/>
      <c r="CG25" s="34" t="n"/>
      <c r="CH25" s="34" t="n"/>
      <c r="CI25" s="16">
        <f>IF(AR25="","",AR25)</f>
        <v/>
      </c>
      <c r="CJ25" s="16">
        <f>IF(AS25="","",AS25)</f>
        <v/>
      </c>
      <c r="CK25" s="16">
        <f>IF(AT25="","",AT25)</f>
        <v/>
      </c>
      <c r="CL25" s="16">
        <f>IF(AU25="","",AU25)</f>
        <v/>
      </c>
      <c r="CM25" s="35">
        <f>IF(AY25="","",IF(COUNTIF($AY$5:$AY$64,AY25)&gt;1,"중복! 마지막 것만 남기세요",""))</f>
        <v/>
      </c>
    </row>
    <row r="26">
      <c r="AY26" s="16">
        <f>IF(AND(B26="",C26=""),"",TRIM(B26)&amp;" "&amp;TRIM(C26))</f>
        <v/>
      </c>
      <c r="AZ26" s="17">
        <f>IF(AND(B26="",C26=""),"",SUMPRODUCT(--(D26:M26=$D$3:$M$3)))</f>
        <v/>
      </c>
      <c r="BA26" s="17">
        <f>IF(N26="","",MATCH(N26,$AW$2:$AW$6,0))</f>
        <v/>
      </c>
      <c r="BB26" s="17">
        <f>IF(O26="","",MATCH(O26,$AW$2:$AW$6,0))</f>
        <v/>
      </c>
      <c r="BC26" s="17">
        <f>IF(P26="","",MATCH(P26,$AW$2:$AW$6,0))</f>
        <v/>
      </c>
      <c r="BD26" s="17">
        <f>IF(Q26="","",MATCH(Q26,$AW$2:$AW$6,0))</f>
        <v/>
      </c>
      <c r="BE26" s="17">
        <f>IF(R26="","",MATCH(R26,$AW$2:$AW$6,0))</f>
        <v/>
      </c>
      <c r="BF26" s="17">
        <f>IF(S26="","",MATCH(S26,$AW$2:$AW$6,0))</f>
        <v/>
      </c>
      <c r="BG26" s="17">
        <f>IF(T26="","",MATCH(T26,$AW$2:$AW$6,0))</f>
        <v/>
      </c>
      <c r="BH26" s="17">
        <f>IF(U26="","",MATCH(U26,$AW$2:$AW$6,0))</f>
        <v/>
      </c>
      <c r="BI26" s="17">
        <f>IF(V26="","",MATCH(V26,$AW$2:$AW$6,0))</f>
        <v/>
      </c>
      <c r="BJ26" s="17">
        <f>IF(W26="","",MATCH(W26,$AW$2:$AW$6,0))</f>
        <v/>
      </c>
      <c r="BK26" s="17">
        <f>IF(X26="","",MATCH(X26,$AW$2:$AW$6,0))</f>
        <v/>
      </c>
      <c r="BL26" s="17">
        <f>IF(Y26="","",MATCH(Y26,$AW$2:$AW$6,0))</f>
        <v/>
      </c>
      <c r="BM26" s="17">
        <f>IF(Z26="","",MATCH(Z26,$AW$2:$AW$6,0))</f>
        <v/>
      </c>
      <c r="BN26" s="17">
        <f>IF(AA26="","",MATCH(AA26,$AW$2:$AW$6,0))</f>
        <v/>
      </c>
      <c r="BO26" s="17">
        <f>IF(AB26="","",MATCH(AB26,$AW$2:$AW$6,0))</f>
        <v/>
      </c>
      <c r="BP26" s="17">
        <f>IF(AC26="","",MATCH(AC26,$AW$2:$AW$6,0))</f>
        <v/>
      </c>
      <c r="BQ26" s="17">
        <f>IF(AD26="","",MATCH(AD26,$AW$2:$AW$6,0))</f>
        <v/>
      </c>
      <c r="BR26" s="17">
        <f>IF(AE26="","",MATCH(AE26,$AW$2:$AW$6,0))</f>
        <v/>
      </c>
      <c r="BS26" s="17">
        <f>IF(AF26="","",MATCH(AF26,$AW$2:$AW$6,0))</f>
        <v/>
      </c>
      <c r="BT26" s="17">
        <f>IF(AG26="","",MATCH(AG26,$AW$2:$AW$6,0))</f>
        <v/>
      </c>
      <c r="BU26" s="17">
        <f>IF(AH26="","",MATCH(AH26,$AW$2:$AW$6,0))</f>
        <v/>
      </c>
      <c r="BV26" s="17">
        <f>IF(AI26="","",MATCH(AI26,$AW$2:$AW$6,0))</f>
        <v/>
      </c>
      <c r="BW26" s="17">
        <f>IF(AJ26="","",MATCH(AJ26,$AW$2:$AW$6,0))</f>
        <v/>
      </c>
      <c r="BX26" s="17">
        <f>IF(AK26="","",MATCH(AK26,$AW$2:$AW$6,0))</f>
        <v/>
      </c>
      <c r="BY26" s="17">
        <f>IF(AL26="","",MATCH(AL26,$AW$2:$AW$6,0))</f>
        <v/>
      </c>
      <c r="BZ26" s="17">
        <f>IF(AM26="","",MATCH(AM26,$AW$2:$AW$6,0))</f>
        <v/>
      </c>
      <c r="CA26" s="17">
        <f>IF(AN26="","",MATCH(AN26,$AW$2:$AW$6,0))</f>
        <v/>
      </c>
      <c r="CB26" s="17">
        <f>IF(AO26="","",MATCH(AO26,$AW$2:$AW$6,0))</f>
        <v/>
      </c>
      <c r="CC26" s="17">
        <f>IF(AP26="","",MATCH(AP26,$AW$2:$AW$6,0))</f>
        <v/>
      </c>
      <c r="CD26" s="17">
        <f>IF(AQ26="","",MATCH(AQ26,$AW$2:$AW$6,0))</f>
        <v/>
      </c>
      <c r="CE26" s="34" t="n"/>
      <c r="CF26" s="34" t="n"/>
      <c r="CG26" s="34" t="n"/>
      <c r="CH26" s="34" t="n"/>
      <c r="CI26" s="16">
        <f>IF(AR26="","",AR26)</f>
        <v/>
      </c>
      <c r="CJ26" s="16">
        <f>IF(AS26="","",AS26)</f>
        <v/>
      </c>
      <c r="CK26" s="16">
        <f>IF(AT26="","",AT26)</f>
        <v/>
      </c>
      <c r="CL26" s="16">
        <f>IF(AU26="","",AU26)</f>
        <v/>
      </c>
      <c r="CM26" s="35">
        <f>IF(AY26="","",IF(COUNTIF($AY$5:$AY$64,AY26)&gt;1,"중복! 마지막 것만 남기세요",""))</f>
        <v/>
      </c>
    </row>
    <row r="27">
      <c r="AY27" s="16">
        <f>IF(AND(B27="",C27=""),"",TRIM(B27)&amp;" "&amp;TRIM(C27))</f>
        <v/>
      </c>
      <c r="AZ27" s="17">
        <f>IF(AND(B27="",C27=""),"",SUMPRODUCT(--(D27:M27=$D$3:$M$3)))</f>
        <v/>
      </c>
      <c r="BA27" s="17">
        <f>IF(N27="","",MATCH(N27,$AW$2:$AW$6,0))</f>
        <v/>
      </c>
      <c r="BB27" s="17">
        <f>IF(O27="","",MATCH(O27,$AW$2:$AW$6,0))</f>
        <v/>
      </c>
      <c r="BC27" s="17">
        <f>IF(P27="","",MATCH(P27,$AW$2:$AW$6,0))</f>
        <v/>
      </c>
      <c r="BD27" s="17">
        <f>IF(Q27="","",MATCH(Q27,$AW$2:$AW$6,0))</f>
        <v/>
      </c>
      <c r="BE27" s="17">
        <f>IF(R27="","",MATCH(R27,$AW$2:$AW$6,0))</f>
        <v/>
      </c>
      <c r="BF27" s="17">
        <f>IF(S27="","",MATCH(S27,$AW$2:$AW$6,0))</f>
        <v/>
      </c>
      <c r="BG27" s="17">
        <f>IF(T27="","",MATCH(T27,$AW$2:$AW$6,0))</f>
        <v/>
      </c>
      <c r="BH27" s="17">
        <f>IF(U27="","",MATCH(U27,$AW$2:$AW$6,0))</f>
        <v/>
      </c>
      <c r="BI27" s="17">
        <f>IF(V27="","",MATCH(V27,$AW$2:$AW$6,0))</f>
        <v/>
      </c>
      <c r="BJ27" s="17">
        <f>IF(W27="","",MATCH(W27,$AW$2:$AW$6,0))</f>
        <v/>
      </c>
      <c r="BK27" s="17">
        <f>IF(X27="","",MATCH(X27,$AW$2:$AW$6,0))</f>
        <v/>
      </c>
      <c r="BL27" s="17">
        <f>IF(Y27="","",MATCH(Y27,$AW$2:$AW$6,0))</f>
        <v/>
      </c>
      <c r="BM27" s="17">
        <f>IF(Z27="","",MATCH(Z27,$AW$2:$AW$6,0))</f>
        <v/>
      </c>
      <c r="BN27" s="17">
        <f>IF(AA27="","",MATCH(AA27,$AW$2:$AW$6,0))</f>
        <v/>
      </c>
      <c r="BO27" s="17">
        <f>IF(AB27="","",MATCH(AB27,$AW$2:$AW$6,0))</f>
        <v/>
      </c>
      <c r="BP27" s="17">
        <f>IF(AC27="","",MATCH(AC27,$AW$2:$AW$6,0))</f>
        <v/>
      </c>
      <c r="BQ27" s="17">
        <f>IF(AD27="","",MATCH(AD27,$AW$2:$AW$6,0))</f>
        <v/>
      </c>
      <c r="BR27" s="17">
        <f>IF(AE27="","",MATCH(AE27,$AW$2:$AW$6,0))</f>
        <v/>
      </c>
      <c r="BS27" s="17">
        <f>IF(AF27="","",MATCH(AF27,$AW$2:$AW$6,0))</f>
        <v/>
      </c>
      <c r="BT27" s="17">
        <f>IF(AG27="","",MATCH(AG27,$AW$2:$AW$6,0))</f>
        <v/>
      </c>
      <c r="BU27" s="17">
        <f>IF(AH27="","",MATCH(AH27,$AW$2:$AW$6,0))</f>
        <v/>
      </c>
      <c r="BV27" s="17">
        <f>IF(AI27="","",MATCH(AI27,$AW$2:$AW$6,0))</f>
        <v/>
      </c>
      <c r="BW27" s="17">
        <f>IF(AJ27="","",MATCH(AJ27,$AW$2:$AW$6,0))</f>
        <v/>
      </c>
      <c r="BX27" s="17">
        <f>IF(AK27="","",MATCH(AK27,$AW$2:$AW$6,0))</f>
        <v/>
      </c>
      <c r="BY27" s="17">
        <f>IF(AL27="","",MATCH(AL27,$AW$2:$AW$6,0))</f>
        <v/>
      </c>
      <c r="BZ27" s="17">
        <f>IF(AM27="","",MATCH(AM27,$AW$2:$AW$6,0))</f>
        <v/>
      </c>
      <c r="CA27" s="17">
        <f>IF(AN27="","",MATCH(AN27,$AW$2:$AW$6,0))</f>
        <v/>
      </c>
      <c r="CB27" s="17">
        <f>IF(AO27="","",MATCH(AO27,$AW$2:$AW$6,0))</f>
        <v/>
      </c>
      <c r="CC27" s="17">
        <f>IF(AP27="","",MATCH(AP27,$AW$2:$AW$6,0))</f>
        <v/>
      </c>
      <c r="CD27" s="17">
        <f>IF(AQ27="","",MATCH(AQ27,$AW$2:$AW$6,0))</f>
        <v/>
      </c>
      <c r="CE27" s="34" t="n"/>
      <c r="CF27" s="34" t="n"/>
      <c r="CG27" s="34" t="n"/>
      <c r="CH27" s="34" t="n"/>
      <c r="CI27" s="16">
        <f>IF(AR27="","",AR27)</f>
        <v/>
      </c>
      <c r="CJ27" s="16">
        <f>IF(AS27="","",AS27)</f>
        <v/>
      </c>
      <c r="CK27" s="16">
        <f>IF(AT27="","",AT27)</f>
        <v/>
      </c>
      <c r="CL27" s="16">
        <f>IF(AU27="","",AU27)</f>
        <v/>
      </c>
      <c r="CM27" s="35">
        <f>IF(AY27="","",IF(COUNTIF($AY$5:$AY$64,AY27)&gt;1,"중복! 마지막 것만 남기세요",""))</f>
        <v/>
      </c>
    </row>
    <row r="28">
      <c r="AY28" s="16">
        <f>IF(AND(B28="",C28=""),"",TRIM(B28)&amp;" "&amp;TRIM(C28))</f>
        <v/>
      </c>
      <c r="AZ28" s="17">
        <f>IF(AND(B28="",C28=""),"",SUMPRODUCT(--(D28:M28=$D$3:$M$3)))</f>
        <v/>
      </c>
      <c r="BA28" s="17">
        <f>IF(N28="","",MATCH(N28,$AW$2:$AW$6,0))</f>
        <v/>
      </c>
      <c r="BB28" s="17">
        <f>IF(O28="","",MATCH(O28,$AW$2:$AW$6,0))</f>
        <v/>
      </c>
      <c r="BC28" s="17">
        <f>IF(P28="","",MATCH(P28,$AW$2:$AW$6,0))</f>
        <v/>
      </c>
      <c r="BD28" s="17">
        <f>IF(Q28="","",MATCH(Q28,$AW$2:$AW$6,0))</f>
        <v/>
      </c>
      <c r="BE28" s="17">
        <f>IF(R28="","",MATCH(R28,$AW$2:$AW$6,0))</f>
        <v/>
      </c>
      <c r="BF28" s="17">
        <f>IF(S28="","",MATCH(S28,$AW$2:$AW$6,0))</f>
        <v/>
      </c>
      <c r="BG28" s="17">
        <f>IF(T28="","",MATCH(T28,$AW$2:$AW$6,0))</f>
        <v/>
      </c>
      <c r="BH28" s="17">
        <f>IF(U28="","",MATCH(U28,$AW$2:$AW$6,0))</f>
        <v/>
      </c>
      <c r="BI28" s="17">
        <f>IF(V28="","",MATCH(V28,$AW$2:$AW$6,0))</f>
        <v/>
      </c>
      <c r="BJ28" s="17">
        <f>IF(W28="","",MATCH(W28,$AW$2:$AW$6,0))</f>
        <v/>
      </c>
      <c r="BK28" s="17">
        <f>IF(X28="","",MATCH(X28,$AW$2:$AW$6,0))</f>
        <v/>
      </c>
      <c r="BL28" s="17">
        <f>IF(Y28="","",MATCH(Y28,$AW$2:$AW$6,0))</f>
        <v/>
      </c>
      <c r="BM28" s="17">
        <f>IF(Z28="","",MATCH(Z28,$AW$2:$AW$6,0))</f>
        <v/>
      </c>
      <c r="BN28" s="17">
        <f>IF(AA28="","",MATCH(AA28,$AW$2:$AW$6,0))</f>
        <v/>
      </c>
      <c r="BO28" s="17">
        <f>IF(AB28="","",MATCH(AB28,$AW$2:$AW$6,0))</f>
        <v/>
      </c>
      <c r="BP28" s="17">
        <f>IF(AC28="","",MATCH(AC28,$AW$2:$AW$6,0))</f>
        <v/>
      </c>
      <c r="BQ28" s="17">
        <f>IF(AD28="","",MATCH(AD28,$AW$2:$AW$6,0))</f>
        <v/>
      </c>
      <c r="BR28" s="17">
        <f>IF(AE28="","",MATCH(AE28,$AW$2:$AW$6,0))</f>
        <v/>
      </c>
      <c r="BS28" s="17">
        <f>IF(AF28="","",MATCH(AF28,$AW$2:$AW$6,0))</f>
        <v/>
      </c>
      <c r="BT28" s="17">
        <f>IF(AG28="","",MATCH(AG28,$AW$2:$AW$6,0))</f>
        <v/>
      </c>
      <c r="BU28" s="17">
        <f>IF(AH28="","",MATCH(AH28,$AW$2:$AW$6,0))</f>
        <v/>
      </c>
      <c r="BV28" s="17">
        <f>IF(AI28="","",MATCH(AI28,$AW$2:$AW$6,0))</f>
        <v/>
      </c>
      <c r="BW28" s="17">
        <f>IF(AJ28="","",MATCH(AJ28,$AW$2:$AW$6,0))</f>
        <v/>
      </c>
      <c r="BX28" s="17">
        <f>IF(AK28="","",MATCH(AK28,$AW$2:$AW$6,0))</f>
        <v/>
      </c>
      <c r="BY28" s="17">
        <f>IF(AL28="","",MATCH(AL28,$AW$2:$AW$6,0))</f>
        <v/>
      </c>
      <c r="BZ28" s="17">
        <f>IF(AM28="","",MATCH(AM28,$AW$2:$AW$6,0))</f>
        <v/>
      </c>
      <c r="CA28" s="17">
        <f>IF(AN28="","",MATCH(AN28,$AW$2:$AW$6,0))</f>
        <v/>
      </c>
      <c r="CB28" s="17">
        <f>IF(AO28="","",MATCH(AO28,$AW$2:$AW$6,0))</f>
        <v/>
      </c>
      <c r="CC28" s="17">
        <f>IF(AP28="","",MATCH(AP28,$AW$2:$AW$6,0))</f>
        <v/>
      </c>
      <c r="CD28" s="17">
        <f>IF(AQ28="","",MATCH(AQ28,$AW$2:$AW$6,0))</f>
        <v/>
      </c>
      <c r="CE28" s="34" t="n"/>
      <c r="CF28" s="34" t="n"/>
      <c r="CG28" s="34" t="n"/>
      <c r="CH28" s="34" t="n"/>
      <c r="CI28" s="16">
        <f>IF(AR28="","",AR28)</f>
        <v/>
      </c>
      <c r="CJ28" s="16">
        <f>IF(AS28="","",AS28)</f>
        <v/>
      </c>
      <c r="CK28" s="16">
        <f>IF(AT28="","",AT28)</f>
        <v/>
      </c>
      <c r="CL28" s="16">
        <f>IF(AU28="","",AU28)</f>
        <v/>
      </c>
      <c r="CM28" s="35">
        <f>IF(AY28="","",IF(COUNTIF($AY$5:$AY$64,AY28)&gt;1,"중복! 마지막 것만 남기세요",""))</f>
        <v/>
      </c>
    </row>
    <row r="29">
      <c r="AY29" s="16">
        <f>IF(AND(B29="",C29=""),"",TRIM(B29)&amp;" "&amp;TRIM(C29))</f>
        <v/>
      </c>
      <c r="AZ29" s="17">
        <f>IF(AND(B29="",C29=""),"",SUMPRODUCT(--(D29:M29=$D$3:$M$3)))</f>
        <v/>
      </c>
      <c r="BA29" s="17">
        <f>IF(N29="","",MATCH(N29,$AW$2:$AW$6,0))</f>
        <v/>
      </c>
      <c r="BB29" s="17">
        <f>IF(O29="","",MATCH(O29,$AW$2:$AW$6,0))</f>
        <v/>
      </c>
      <c r="BC29" s="17">
        <f>IF(P29="","",MATCH(P29,$AW$2:$AW$6,0))</f>
        <v/>
      </c>
      <c r="BD29" s="17">
        <f>IF(Q29="","",MATCH(Q29,$AW$2:$AW$6,0))</f>
        <v/>
      </c>
      <c r="BE29" s="17">
        <f>IF(R29="","",MATCH(R29,$AW$2:$AW$6,0))</f>
        <v/>
      </c>
      <c r="BF29" s="17">
        <f>IF(S29="","",MATCH(S29,$AW$2:$AW$6,0))</f>
        <v/>
      </c>
      <c r="BG29" s="17">
        <f>IF(T29="","",MATCH(T29,$AW$2:$AW$6,0))</f>
        <v/>
      </c>
      <c r="BH29" s="17">
        <f>IF(U29="","",MATCH(U29,$AW$2:$AW$6,0))</f>
        <v/>
      </c>
      <c r="BI29" s="17">
        <f>IF(V29="","",MATCH(V29,$AW$2:$AW$6,0))</f>
        <v/>
      </c>
      <c r="BJ29" s="17">
        <f>IF(W29="","",MATCH(W29,$AW$2:$AW$6,0))</f>
        <v/>
      </c>
      <c r="BK29" s="17">
        <f>IF(X29="","",MATCH(X29,$AW$2:$AW$6,0))</f>
        <v/>
      </c>
      <c r="BL29" s="17">
        <f>IF(Y29="","",MATCH(Y29,$AW$2:$AW$6,0))</f>
        <v/>
      </c>
      <c r="BM29" s="17">
        <f>IF(Z29="","",MATCH(Z29,$AW$2:$AW$6,0))</f>
        <v/>
      </c>
      <c r="BN29" s="17">
        <f>IF(AA29="","",MATCH(AA29,$AW$2:$AW$6,0))</f>
        <v/>
      </c>
      <c r="BO29" s="17">
        <f>IF(AB29="","",MATCH(AB29,$AW$2:$AW$6,0))</f>
        <v/>
      </c>
      <c r="BP29" s="17">
        <f>IF(AC29="","",MATCH(AC29,$AW$2:$AW$6,0))</f>
        <v/>
      </c>
      <c r="BQ29" s="17">
        <f>IF(AD29="","",MATCH(AD29,$AW$2:$AW$6,0))</f>
        <v/>
      </c>
      <c r="BR29" s="17">
        <f>IF(AE29="","",MATCH(AE29,$AW$2:$AW$6,0))</f>
        <v/>
      </c>
      <c r="BS29" s="17">
        <f>IF(AF29="","",MATCH(AF29,$AW$2:$AW$6,0))</f>
        <v/>
      </c>
      <c r="BT29" s="17">
        <f>IF(AG29="","",MATCH(AG29,$AW$2:$AW$6,0))</f>
        <v/>
      </c>
      <c r="BU29" s="17">
        <f>IF(AH29="","",MATCH(AH29,$AW$2:$AW$6,0))</f>
        <v/>
      </c>
      <c r="BV29" s="17">
        <f>IF(AI29="","",MATCH(AI29,$AW$2:$AW$6,0))</f>
        <v/>
      </c>
      <c r="BW29" s="17">
        <f>IF(AJ29="","",MATCH(AJ29,$AW$2:$AW$6,0))</f>
        <v/>
      </c>
      <c r="BX29" s="17">
        <f>IF(AK29="","",MATCH(AK29,$AW$2:$AW$6,0))</f>
        <v/>
      </c>
      <c r="BY29" s="17">
        <f>IF(AL29="","",MATCH(AL29,$AW$2:$AW$6,0))</f>
        <v/>
      </c>
      <c r="BZ29" s="17">
        <f>IF(AM29="","",MATCH(AM29,$AW$2:$AW$6,0))</f>
        <v/>
      </c>
      <c r="CA29" s="17">
        <f>IF(AN29="","",MATCH(AN29,$AW$2:$AW$6,0))</f>
        <v/>
      </c>
      <c r="CB29" s="17">
        <f>IF(AO29="","",MATCH(AO29,$AW$2:$AW$6,0))</f>
        <v/>
      </c>
      <c r="CC29" s="17">
        <f>IF(AP29="","",MATCH(AP29,$AW$2:$AW$6,0))</f>
        <v/>
      </c>
      <c r="CD29" s="17">
        <f>IF(AQ29="","",MATCH(AQ29,$AW$2:$AW$6,0))</f>
        <v/>
      </c>
      <c r="CE29" s="34" t="n"/>
      <c r="CF29" s="34" t="n"/>
      <c r="CG29" s="34" t="n"/>
      <c r="CH29" s="34" t="n"/>
      <c r="CI29" s="16">
        <f>IF(AR29="","",AR29)</f>
        <v/>
      </c>
      <c r="CJ29" s="16">
        <f>IF(AS29="","",AS29)</f>
        <v/>
      </c>
      <c r="CK29" s="16">
        <f>IF(AT29="","",AT29)</f>
        <v/>
      </c>
      <c r="CL29" s="16">
        <f>IF(AU29="","",AU29)</f>
        <v/>
      </c>
      <c r="CM29" s="35">
        <f>IF(AY29="","",IF(COUNTIF($AY$5:$AY$64,AY29)&gt;1,"중복! 마지막 것만 남기세요",""))</f>
        <v/>
      </c>
    </row>
    <row r="30">
      <c r="AY30" s="16">
        <f>IF(AND(B30="",C30=""),"",TRIM(B30)&amp;" "&amp;TRIM(C30))</f>
        <v/>
      </c>
      <c r="AZ30" s="17">
        <f>IF(AND(B30="",C30=""),"",SUMPRODUCT(--(D30:M30=$D$3:$M$3)))</f>
        <v/>
      </c>
      <c r="BA30" s="17">
        <f>IF(N30="","",MATCH(N30,$AW$2:$AW$6,0))</f>
        <v/>
      </c>
      <c r="BB30" s="17">
        <f>IF(O30="","",MATCH(O30,$AW$2:$AW$6,0))</f>
        <v/>
      </c>
      <c r="BC30" s="17">
        <f>IF(P30="","",MATCH(P30,$AW$2:$AW$6,0))</f>
        <v/>
      </c>
      <c r="BD30" s="17">
        <f>IF(Q30="","",MATCH(Q30,$AW$2:$AW$6,0))</f>
        <v/>
      </c>
      <c r="BE30" s="17">
        <f>IF(R30="","",MATCH(R30,$AW$2:$AW$6,0))</f>
        <v/>
      </c>
      <c r="BF30" s="17">
        <f>IF(S30="","",MATCH(S30,$AW$2:$AW$6,0))</f>
        <v/>
      </c>
      <c r="BG30" s="17">
        <f>IF(T30="","",MATCH(T30,$AW$2:$AW$6,0))</f>
        <v/>
      </c>
      <c r="BH30" s="17">
        <f>IF(U30="","",MATCH(U30,$AW$2:$AW$6,0))</f>
        <v/>
      </c>
      <c r="BI30" s="17">
        <f>IF(V30="","",MATCH(V30,$AW$2:$AW$6,0))</f>
        <v/>
      </c>
      <c r="BJ30" s="17">
        <f>IF(W30="","",MATCH(W30,$AW$2:$AW$6,0))</f>
        <v/>
      </c>
      <c r="BK30" s="17">
        <f>IF(X30="","",MATCH(X30,$AW$2:$AW$6,0))</f>
        <v/>
      </c>
      <c r="BL30" s="17">
        <f>IF(Y30="","",MATCH(Y30,$AW$2:$AW$6,0))</f>
        <v/>
      </c>
      <c r="BM30" s="17">
        <f>IF(Z30="","",MATCH(Z30,$AW$2:$AW$6,0))</f>
        <v/>
      </c>
      <c r="BN30" s="17">
        <f>IF(AA30="","",MATCH(AA30,$AW$2:$AW$6,0))</f>
        <v/>
      </c>
      <c r="BO30" s="17">
        <f>IF(AB30="","",MATCH(AB30,$AW$2:$AW$6,0))</f>
        <v/>
      </c>
      <c r="BP30" s="17">
        <f>IF(AC30="","",MATCH(AC30,$AW$2:$AW$6,0))</f>
        <v/>
      </c>
      <c r="BQ30" s="17">
        <f>IF(AD30="","",MATCH(AD30,$AW$2:$AW$6,0))</f>
        <v/>
      </c>
      <c r="BR30" s="17">
        <f>IF(AE30="","",MATCH(AE30,$AW$2:$AW$6,0))</f>
        <v/>
      </c>
      <c r="BS30" s="17">
        <f>IF(AF30="","",MATCH(AF30,$AW$2:$AW$6,0))</f>
        <v/>
      </c>
      <c r="BT30" s="17">
        <f>IF(AG30="","",MATCH(AG30,$AW$2:$AW$6,0))</f>
        <v/>
      </c>
      <c r="BU30" s="17">
        <f>IF(AH30="","",MATCH(AH30,$AW$2:$AW$6,0))</f>
        <v/>
      </c>
      <c r="BV30" s="17">
        <f>IF(AI30="","",MATCH(AI30,$AW$2:$AW$6,0))</f>
        <v/>
      </c>
      <c r="BW30" s="17">
        <f>IF(AJ30="","",MATCH(AJ30,$AW$2:$AW$6,0))</f>
        <v/>
      </c>
      <c r="BX30" s="17">
        <f>IF(AK30="","",MATCH(AK30,$AW$2:$AW$6,0))</f>
        <v/>
      </c>
      <c r="BY30" s="17">
        <f>IF(AL30="","",MATCH(AL30,$AW$2:$AW$6,0))</f>
        <v/>
      </c>
      <c r="BZ30" s="17">
        <f>IF(AM30="","",MATCH(AM30,$AW$2:$AW$6,0))</f>
        <v/>
      </c>
      <c r="CA30" s="17">
        <f>IF(AN30="","",MATCH(AN30,$AW$2:$AW$6,0))</f>
        <v/>
      </c>
      <c r="CB30" s="17">
        <f>IF(AO30="","",MATCH(AO30,$AW$2:$AW$6,0))</f>
        <v/>
      </c>
      <c r="CC30" s="17">
        <f>IF(AP30="","",MATCH(AP30,$AW$2:$AW$6,0))</f>
        <v/>
      </c>
      <c r="CD30" s="17">
        <f>IF(AQ30="","",MATCH(AQ30,$AW$2:$AW$6,0))</f>
        <v/>
      </c>
      <c r="CE30" s="34" t="n"/>
      <c r="CF30" s="34" t="n"/>
      <c r="CG30" s="34" t="n"/>
      <c r="CH30" s="34" t="n"/>
      <c r="CI30" s="16">
        <f>IF(AR30="","",AR30)</f>
        <v/>
      </c>
      <c r="CJ30" s="16">
        <f>IF(AS30="","",AS30)</f>
        <v/>
      </c>
      <c r="CK30" s="16">
        <f>IF(AT30="","",AT30)</f>
        <v/>
      </c>
      <c r="CL30" s="16">
        <f>IF(AU30="","",AU30)</f>
        <v/>
      </c>
      <c r="CM30" s="35">
        <f>IF(AY30="","",IF(COUNTIF($AY$5:$AY$64,AY30)&gt;1,"중복! 마지막 것만 남기세요",""))</f>
        <v/>
      </c>
    </row>
    <row r="31">
      <c r="AY31" s="16">
        <f>IF(AND(B31="",C31=""),"",TRIM(B31)&amp;" "&amp;TRIM(C31))</f>
        <v/>
      </c>
      <c r="AZ31" s="17">
        <f>IF(AND(B31="",C31=""),"",SUMPRODUCT(--(D31:M31=$D$3:$M$3)))</f>
        <v/>
      </c>
      <c r="BA31" s="17">
        <f>IF(N31="","",MATCH(N31,$AW$2:$AW$6,0))</f>
        <v/>
      </c>
      <c r="BB31" s="17">
        <f>IF(O31="","",MATCH(O31,$AW$2:$AW$6,0))</f>
        <v/>
      </c>
      <c r="BC31" s="17">
        <f>IF(P31="","",MATCH(P31,$AW$2:$AW$6,0))</f>
        <v/>
      </c>
      <c r="BD31" s="17">
        <f>IF(Q31="","",MATCH(Q31,$AW$2:$AW$6,0))</f>
        <v/>
      </c>
      <c r="BE31" s="17">
        <f>IF(R31="","",MATCH(R31,$AW$2:$AW$6,0))</f>
        <v/>
      </c>
      <c r="BF31" s="17">
        <f>IF(S31="","",MATCH(S31,$AW$2:$AW$6,0))</f>
        <v/>
      </c>
      <c r="BG31" s="17">
        <f>IF(T31="","",MATCH(T31,$AW$2:$AW$6,0))</f>
        <v/>
      </c>
      <c r="BH31" s="17">
        <f>IF(U31="","",MATCH(U31,$AW$2:$AW$6,0))</f>
        <v/>
      </c>
      <c r="BI31" s="17">
        <f>IF(V31="","",MATCH(V31,$AW$2:$AW$6,0))</f>
        <v/>
      </c>
      <c r="BJ31" s="17">
        <f>IF(W31="","",MATCH(W31,$AW$2:$AW$6,0))</f>
        <v/>
      </c>
      <c r="BK31" s="17">
        <f>IF(X31="","",MATCH(X31,$AW$2:$AW$6,0))</f>
        <v/>
      </c>
      <c r="BL31" s="17">
        <f>IF(Y31="","",MATCH(Y31,$AW$2:$AW$6,0))</f>
        <v/>
      </c>
      <c r="BM31" s="17">
        <f>IF(Z31="","",MATCH(Z31,$AW$2:$AW$6,0))</f>
        <v/>
      </c>
      <c r="BN31" s="17">
        <f>IF(AA31="","",MATCH(AA31,$AW$2:$AW$6,0))</f>
        <v/>
      </c>
      <c r="BO31" s="17">
        <f>IF(AB31="","",MATCH(AB31,$AW$2:$AW$6,0))</f>
        <v/>
      </c>
      <c r="BP31" s="17">
        <f>IF(AC31="","",MATCH(AC31,$AW$2:$AW$6,0))</f>
        <v/>
      </c>
      <c r="BQ31" s="17">
        <f>IF(AD31="","",MATCH(AD31,$AW$2:$AW$6,0))</f>
        <v/>
      </c>
      <c r="BR31" s="17">
        <f>IF(AE31="","",MATCH(AE31,$AW$2:$AW$6,0))</f>
        <v/>
      </c>
      <c r="BS31" s="17">
        <f>IF(AF31="","",MATCH(AF31,$AW$2:$AW$6,0))</f>
        <v/>
      </c>
      <c r="BT31" s="17">
        <f>IF(AG31="","",MATCH(AG31,$AW$2:$AW$6,0))</f>
        <v/>
      </c>
      <c r="BU31" s="17">
        <f>IF(AH31="","",MATCH(AH31,$AW$2:$AW$6,0))</f>
        <v/>
      </c>
      <c r="BV31" s="17">
        <f>IF(AI31="","",MATCH(AI31,$AW$2:$AW$6,0))</f>
        <v/>
      </c>
      <c r="BW31" s="17">
        <f>IF(AJ31="","",MATCH(AJ31,$AW$2:$AW$6,0))</f>
        <v/>
      </c>
      <c r="BX31" s="17">
        <f>IF(AK31="","",MATCH(AK31,$AW$2:$AW$6,0))</f>
        <v/>
      </c>
      <c r="BY31" s="17">
        <f>IF(AL31="","",MATCH(AL31,$AW$2:$AW$6,0))</f>
        <v/>
      </c>
      <c r="BZ31" s="17">
        <f>IF(AM31="","",MATCH(AM31,$AW$2:$AW$6,0))</f>
        <v/>
      </c>
      <c r="CA31" s="17">
        <f>IF(AN31="","",MATCH(AN31,$AW$2:$AW$6,0))</f>
        <v/>
      </c>
      <c r="CB31" s="17">
        <f>IF(AO31="","",MATCH(AO31,$AW$2:$AW$6,0))</f>
        <v/>
      </c>
      <c r="CC31" s="17">
        <f>IF(AP31="","",MATCH(AP31,$AW$2:$AW$6,0))</f>
        <v/>
      </c>
      <c r="CD31" s="17">
        <f>IF(AQ31="","",MATCH(AQ31,$AW$2:$AW$6,0))</f>
        <v/>
      </c>
      <c r="CE31" s="34" t="n"/>
      <c r="CF31" s="34" t="n"/>
      <c r="CG31" s="34" t="n"/>
      <c r="CH31" s="34" t="n"/>
      <c r="CI31" s="16">
        <f>IF(AR31="","",AR31)</f>
        <v/>
      </c>
      <c r="CJ31" s="16">
        <f>IF(AS31="","",AS31)</f>
        <v/>
      </c>
      <c r="CK31" s="16">
        <f>IF(AT31="","",AT31)</f>
        <v/>
      </c>
      <c r="CL31" s="16">
        <f>IF(AU31="","",AU31)</f>
        <v/>
      </c>
      <c r="CM31" s="35">
        <f>IF(AY31="","",IF(COUNTIF($AY$5:$AY$64,AY31)&gt;1,"중복! 마지막 것만 남기세요",""))</f>
        <v/>
      </c>
    </row>
    <row r="32">
      <c r="AY32" s="16">
        <f>IF(AND(B32="",C32=""),"",TRIM(B32)&amp;" "&amp;TRIM(C32))</f>
        <v/>
      </c>
      <c r="AZ32" s="17">
        <f>IF(AND(B32="",C32=""),"",SUMPRODUCT(--(D32:M32=$D$3:$M$3)))</f>
        <v/>
      </c>
      <c r="BA32" s="17">
        <f>IF(N32="","",MATCH(N32,$AW$2:$AW$6,0))</f>
        <v/>
      </c>
      <c r="BB32" s="17">
        <f>IF(O32="","",MATCH(O32,$AW$2:$AW$6,0))</f>
        <v/>
      </c>
      <c r="BC32" s="17">
        <f>IF(P32="","",MATCH(P32,$AW$2:$AW$6,0))</f>
        <v/>
      </c>
      <c r="BD32" s="17">
        <f>IF(Q32="","",MATCH(Q32,$AW$2:$AW$6,0))</f>
        <v/>
      </c>
      <c r="BE32" s="17">
        <f>IF(R32="","",MATCH(R32,$AW$2:$AW$6,0))</f>
        <v/>
      </c>
      <c r="BF32" s="17">
        <f>IF(S32="","",MATCH(S32,$AW$2:$AW$6,0))</f>
        <v/>
      </c>
      <c r="BG32" s="17">
        <f>IF(T32="","",MATCH(T32,$AW$2:$AW$6,0))</f>
        <v/>
      </c>
      <c r="BH32" s="17">
        <f>IF(U32="","",MATCH(U32,$AW$2:$AW$6,0))</f>
        <v/>
      </c>
      <c r="BI32" s="17">
        <f>IF(V32="","",MATCH(V32,$AW$2:$AW$6,0))</f>
        <v/>
      </c>
      <c r="BJ32" s="17">
        <f>IF(W32="","",MATCH(W32,$AW$2:$AW$6,0))</f>
        <v/>
      </c>
      <c r="BK32" s="17">
        <f>IF(X32="","",MATCH(X32,$AW$2:$AW$6,0))</f>
        <v/>
      </c>
      <c r="BL32" s="17">
        <f>IF(Y32="","",MATCH(Y32,$AW$2:$AW$6,0))</f>
        <v/>
      </c>
      <c r="BM32" s="17">
        <f>IF(Z32="","",MATCH(Z32,$AW$2:$AW$6,0))</f>
        <v/>
      </c>
      <c r="BN32" s="17">
        <f>IF(AA32="","",MATCH(AA32,$AW$2:$AW$6,0))</f>
        <v/>
      </c>
      <c r="BO32" s="17">
        <f>IF(AB32="","",MATCH(AB32,$AW$2:$AW$6,0))</f>
        <v/>
      </c>
      <c r="BP32" s="17">
        <f>IF(AC32="","",MATCH(AC32,$AW$2:$AW$6,0))</f>
        <v/>
      </c>
      <c r="BQ32" s="17">
        <f>IF(AD32="","",MATCH(AD32,$AW$2:$AW$6,0))</f>
        <v/>
      </c>
      <c r="BR32" s="17">
        <f>IF(AE32="","",MATCH(AE32,$AW$2:$AW$6,0))</f>
        <v/>
      </c>
      <c r="BS32" s="17">
        <f>IF(AF32="","",MATCH(AF32,$AW$2:$AW$6,0))</f>
        <v/>
      </c>
      <c r="BT32" s="17">
        <f>IF(AG32="","",MATCH(AG32,$AW$2:$AW$6,0))</f>
        <v/>
      </c>
      <c r="BU32" s="17">
        <f>IF(AH32="","",MATCH(AH32,$AW$2:$AW$6,0))</f>
        <v/>
      </c>
      <c r="BV32" s="17">
        <f>IF(AI32="","",MATCH(AI32,$AW$2:$AW$6,0))</f>
        <v/>
      </c>
      <c r="BW32" s="17">
        <f>IF(AJ32="","",MATCH(AJ32,$AW$2:$AW$6,0))</f>
        <v/>
      </c>
      <c r="BX32" s="17">
        <f>IF(AK32="","",MATCH(AK32,$AW$2:$AW$6,0))</f>
        <v/>
      </c>
      <c r="BY32" s="17">
        <f>IF(AL32="","",MATCH(AL32,$AW$2:$AW$6,0))</f>
        <v/>
      </c>
      <c r="BZ32" s="17">
        <f>IF(AM32="","",MATCH(AM32,$AW$2:$AW$6,0))</f>
        <v/>
      </c>
      <c r="CA32" s="17">
        <f>IF(AN32="","",MATCH(AN32,$AW$2:$AW$6,0))</f>
        <v/>
      </c>
      <c r="CB32" s="17">
        <f>IF(AO32="","",MATCH(AO32,$AW$2:$AW$6,0))</f>
        <v/>
      </c>
      <c r="CC32" s="17">
        <f>IF(AP32="","",MATCH(AP32,$AW$2:$AW$6,0))</f>
        <v/>
      </c>
      <c r="CD32" s="17">
        <f>IF(AQ32="","",MATCH(AQ32,$AW$2:$AW$6,0))</f>
        <v/>
      </c>
      <c r="CE32" s="34" t="n"/>
      <c r="CF32" s="34" t="n"/>
      <c r="CG32" s="34" t="n"/>
      <c r="CH32" s="34" t="n"/>
      <c r="CI32" s="16">
        <f>IF(AR32="","",AR32)</f>
        <v/>
      </c>
      <c r="CJ32" s="16">
        <f>IF(AS32="","",AS32)</f>
        <v/>
      </c>
      <c r="CK32" s="16">
        <f>IF(AT32="","",AT32)</f>
        <v/>
      </c>
      <c r="CL32" s="16">
        <f>IF(AU32="","",AU32)</f>
        <v/>
      </c>
      <c r="CM32" s="35">
        <f>IF(AY32="","",IF(COUNTIF($AY$5:$AY$64,AY32)&gt;1,"중복! 마지막 것만 남기세요",""))</f>
        <v/>
      </c>
    </row>
    <row r="33">
      <c r="AY33" s="16">
        <f>IF(AND(B33="",C33=""),"",TRIM(B33)&amp;" "&amp;TRIM(C33))</f>
        <v/>
      </c>
      <c r="AZ33" s="17">
        <f>IF(AND(B33="",C33=""),"",SUMPRODUCT(--(D33:M33=$D$3:$M$3)))</f>
        <v/>
      </c>
      <c r="BA33" s="17">
        <f>IF(N33="","",MATCH(N33,$AW$2:$AW$6,0))</f>
        <v/>
      </c>
      <c r="BB33" s="17">
        <f>IF(O33="","",MATCH(O33,$AW$2:$AW$6,0))</f>
        <v/>
      </c>
      <c r="BC33" s="17">
        <f>IF(P33="","",MATCH(P33,$AW$2:$AW$6,0))</f>
        <v/>
      </c>
      <c r="BD33" s="17">
        <f>IF(Q33="","",MATCH(Q33,$AW$2:$AW$6,0))</f>
        <v/>
      </c>
      <c r="BE33" s="17">
        <f>IF(R33="","",MATCH(R33,$AW$2:$AW$6,0))</f>
        <v/>
      </c>
      <c r="BF33" s="17">
        <f>IF(S33="","",MATCH(S33,$AW$2:$AW$6,0))</f>
        <v/>
      </c>
      <c r="BG33" s="17">
        <f>IF(T33="","",MATCH(T33,$AW$2:$AW$6,0))</f>
        <v/>
      </c>
      <c r="BH33" s="17">
        <f>IF(U33="","",MATCH(U33,$AW$2:$AW$6,0))</f>
        <v/>
      </c>
      <c r="BI33" s="17">
        <f>IF(V33="","",MATCH(V33,$AW$2:$AW$6,0))</f>
        <v/>
      </c>
      <c r="BJ33" s="17">
        <f>IF(W33="","",MATCH(W33,$AW$2:$AW$6,0))</f>
        <v/>
      </c>
      <c r="BK33" s="17">
        <f>IF(X33="","",MATCH(X33,$AW$2:$AW$6,0))</f>
        <v/>
      </c>
      <c r="BL33" s="17">
        <f>IF(Y33="","",MATCH(Y33,$AW$2:$AW$6,0))</f>
        <v/>
      </c>
      <c r="BM33" s="17">
        <f>IF(Z33="","",MATCH(Z33,$AW$2:$AW$6,0))</f>
        <v/>
      </c>
      <c r="BN33" s="17">
        <f>IF(AA33="","",MATCH(AA33,$AW$2:$AW$6,0))</f>
        <v/>
      </c>
      <c r="BO33" s="17">
        <f>IF(AB33="","",MATCH(AB33,$AW$2:$AW$6,0))</f>
        <v/>
      </c>
      <c r="BP33" s="17">
        <f>IF(AC33="","",MATCH(AC33,$AW$2:$AW$6,0))</f>
        <v/>
      </c>
      <c r="BQ33" s="17">
        <f>IF(AD33="","",MATCH(AD33,$AW$2:$AW$6,0))</f>
        <v/>
      </c>
      <c r="BR33" s="17">
        <f>IF(AE33="","",MATCH(AE33,$AW$2:$AW$6,0))</f>
        <v/>
      </c>
      <c r="BS33" s="17">
        <f>IF(AF33="","",MATCH(AF33,$AW$2:$AW$6,0))</f>
        <v/>
      </c>
      <c r="BT33" s="17">
        <f>IF(AG33="","",MATCH(AG33,$AW$2:$AW$6,0))</f>
        <v/>
      </c>
      <c r="BU33" s="17">
        <f>IF(AH33="","",MATCH(AH33,$AW$2:$AW$6,0))</f>
        <v/>
      </c>
      <c r="BV33" s="17">
        <f>IF(AI33="","",MATCH(AI33,$AW$2:$AW$6,0))</f>
        <v/>
      </c>
      <c r="BW33" s="17">
        <f>IF(AJ33="","",MATCH(AJ33,$AW$2:$AW$6,0))</f>
        <v/>
      </c>
      <c r="BX33" s="17">
        <f>IF(AK33="","",MATCH(AK33,$AW$2:$AW$6,0))</f>
        <v/>
      </c>
      <c r="BY33" s="17">
        <f>IF(AL33="","",MATCH(AL33,$AW$2:$AW$6,0))</f>
        <v/>
      </c>
      <c r="BZ33" s="17">
        <f>IF(AM33="","",MATCH(AM33,$AW$2:$AW$6,0))</f>
        <v/>
      </c>
      <c r="CA33" s="17">
        <f>IF(AN33="","",MATCH(AN33,$AW$2:$AW$6,0))</f>
        <v/>
      </c>
      <c r="CB33" s="17">
        <f>IF(AO33="","",MATCH(AO33,$AW$2:$AW$6,0))</f>
        <v/>
      </c>
      <c r="CC33" s="17">
        <f>IF(AP33="","",MATCH(AP33,$AW$2:$AW$6,0))</f>
        <v/>
      </c>
      <c r="CD33" s="17">
        <f>IF(AQ33="","",MATCH(AQ33,$AW$2:$AW$6,0))</f>
        <v/>
      </c>
      <c r="CE33" s="34" t="n"/>
      <c r="CF33" s="34" t="n"/>
      <c r="CG33" s="34" t="n"/>
      <c r="CH33" s="34" t="n"/>
      <c r="CI33" s="16">
        <f>IF(AR33="","",AR33)</f>
        <v/>
      </c>
      <c r="CJ33" s="16">
        <f>IF(AS33="","",AS33)</f>
        <v/>
      </c>
      <c r="CK33" s="16">
        <f>IF(AT33="","",AT33)</f>
        <v/>
      </c>
      <c r="CL33" s="16">
        <f>IF(AU33="","",AU33)</f>
        <v/>
      </c>
      <c r="CM33" s="35">
        <f>IF(AY33="","",IF(COUNTIF($AY$5:$AY$64,AY33)&gt;1,"중복! 마지막 것만 남기세요",""))</f>
        <v/>
      </c>
    </row>
    <row r="34">
      <c r="AY34" s="16">
        <f>IF(AND(B34="",C34=""),"",TRIM(B34)&amp;" "&amp;TRIM(C34))</f>
        <v/>
      </c>
      <c r="AZ34" s="17">
        <f>IF(AND(B34="",C34=""),"",SUMPRODUCT(--(D34:M34=$D$3:$M$3)))</f>
        <v/>
      </c>
      <c r="BA34" s="17">
        <f>IF(N34="","",MATCH(N34,$AW$2:$AW$6,0))</f>
        <v/>
      </c>
      <c r="BB34" s="17">
        <f>IF(O34="","",MATCH(O34,$AW$2:$AW$6,0))</f>
        <v/>
      </c>
      <c r="BC34" s="17">
        <f>IF(P34="","",MATCH(P34,$AW$2:$AW$6,0))</f>
        <v/>
      </c>
      <c r="BD34" s="17">
        <f>IF(Q34="","",MATCH(Q34,$AW$2:$AW$6,0))</f>
        <v/>
      </c>
      <c r="BE34" s="17">
        <f>IF(R34="","",MATCH(R34,$AW$2:$AW$6,0))</f>
        <v/>
      </c>
      <c r="BF34" s="17">
        <f>IF(S34="","",MATCH(S34,$AW$2:$AW$6,0))</f>
        <v/>
      </c>
      <c r="BG34" s="17">
        <f>IF(T34="","",MATCH(T34,$AW$2:$AW$6,0))</f>
        <v/>
      </c>
      <c r="BH34" s="17">
        <f>IF(U34="","",MATCH(U34,$AW$2:$AW$6,0))</f>
        <v/>
      </c>
      <c r="BI34" s="17">
        <f>IF(V34="","",MATCH(V34,$AW$2:$AW$6,0))</f>
        <v/>
      </c>
      <c r="BJ34" s="17">
        <f>IF(W34="","",MATCH(W34,$AW$2:$AW$6,0))</f>
        <v/>
      </c>
      <c r="BK34" s="17">
        <f>IF(X34="","",MATCH(X34,$AW$2:$AW$6,0))</f>
        <v/>
      </c>
      <c r="BL34" s="17">
        <f>IF(Y34="","",MATCH(Y34,$AW$2:$AW$6,0))</f>
        <v/>
      </c>
      <c r="BM34" s="17">
        <f>IF(Z34="","",MATCH(Z34,$AW$2:$AW$6,0))</f>
        <v/>
      </c>
      <c r="BN34" s="17">
        <f>IF(AA34="","",MATCH(AA34,$AW$2:$AW$6,0))</f>
        <v/>
      </c>
      <c r="BO34" s="17">
        <f>IF(AB34="","",MATCH(AB34,$AW$2:$AW$6,0))</f>
        <v/>
      </c>
      <c r="BP34" s="17">
        <f>IF(AC34="","",MATCH(AC34,$AW$2:$AW$6,0))</f>
        <v/>
      </c>
      <c r="BQ34" s="17">
        <f>IF(AD34="","",MATCH(AD34,$AW$2:$AW$6,0))</f>
        <v/>
      </c>
      <c r="BR34" s="17">
        <f>IF(AE34="","",MATCH(AE34,$AW$2:$AW$6,0))</f>
        <v/>
      </c>
      <c r="BS34" s="17">
        <f>IF(AF34="","",MATCH(AF34,$AW$2:$AW$6,0))</f>
        <v/>
      </c>
      <c r="BT34" s="17">
        <f>IF(AG34="","",MATCH(AG34,$AW$2:$AW$6,0))</f>
        <v/>
      </c>
      <c r="BU34" s="17">
        <f>IF(AH34="","",MATCH(AH34,$AW$2:$AW$6,0))</f>
        <v/>
      </c>
      <c r="BV34" s="17">
        <f>IF(AI34="","",MATCH(AI34,$AW$2:$AW$6,0))</f>
        <v/>
      </c>
      <c r="BW34" s="17">
        <f>IF(AJ34="","",MATCH(AJ34,$AW$2:$AW$6,0))</f>
        <v/>
      </c>
      <c r="BX34" s="17">
        <f>IF(AK34="","",MATCH(AK34,$AW$2:$AW$6,0))</f>
        <v/>
      </c>
      <c r="BY34" s="17">
        <f>IF(AL34="","",MATCH(AL34,$AW$2:$AW$6,0))</f>
        <v/>
      </c>
      <c r="BZ34" s="17">
        <f>IF(AM34="","",MATCH(AM34,$AW$2:$AW$6,0))</f>
        <v/>
      </c>
      <c r="CA34" s="17">
        <f>IF(AN34="","",MATCH(AN34,$AW$2:$AW$6,0))</f>
        <v/>
      </c>
      <c r="CB34" s="17">
        <f>IF(AO34="","",MATCH(AO34,$AW$2:$AW$6,0))</f>
        <v/>
      </c>
      <c r="CC34" s="17">
        <f>IF(AP34="","",MATCH(AP34,$AW$2:$AW$6,0))</f>
        <v/>
      </c>
      <c r="CD34" s="17">
        <f>IF(AQ34="","",MATCH(AQ34,$AW$2:$AW$6,0))</f>
        <v/>
      </c>
      <c r="CE34" s="34" t="n"/>
      <c r="CF34" s="34" t="n"/>
      <c r="CG34" s="34" t="n"/>
      <c r="CH34" s="34" t="n"/>
      <c r="CI34" s="16">
        <f>IF(AR34="","",AR34)</f>
        <v/>
      </c>
      <c r="CJ34" s="16">
        <f>IF(AS34="","",AS34)</f>
        <v/>
      </c>
      <c r="CK34" s="16">
        <f>IF(AT34="","",AT34)</f>
        <v/>
      </c>
      <c r="CL34" s="16">
        <f>IF(AU34="","",AU34)</f>
        <v/>
      </c>
      <c r="CM34" s="35">
        <f>IF(AY34="","",IF(COUNTIF($AY$5:$AY$64,AY34)&gt;1,"중복! 마지막 것만 남기세요",""))</f>
        <v/>
      </c>
    </row>
    <row r="35">
      <c r="AY35" s="16">
        <f>IF(AND(B35="",C35=""),"",TRIM(B35)&amp;" "&amp;TRIM(C35))</f>
        <v/>
      </c>
      <c r="AZ35" s="17">
        <f>IF(AND(B35="",C35=""),"",SUMPRODUCT(--(D35:M35=$D$3:$M$3)))</f>
        <v/>
      </c>
      <c r="BA35" s="17">
        <f>IF(N35="","",MATCH(N35,$AW$2:$AW$6,0))</f>
        <v/>
      </c>
      <c r="BB35" s="17">
        <f>IF(O35="","",MATCH(O35,$AW$2:$AW$6,0))</f>
        <v/>
      </c>
      <c r="BC35" s="17">
        <f>IF(P35="","",MATCH(P35,$AW$2:$AW$6,0))</f>
        <v/>
      </c>
      <c r="BD35" s="17">
        <f>IF(Q35="","",MATCH(Q35,$AW$2:$AW$6,0))</f>
        <v/>
      </c>
      <c r="BE35" s="17">
        <f>IF(R35="","",MATCH(R35,$AW$2:$AW$6,0))</f>
        <v/>
      </c>
      <c r="BF35" s="17">
        <f>IF(S35="","",MATCH(S35,$AW$2:$AW$6,0))</f>
        <v/>
      </c>
      <c r="BG35" s="17">
        <f>IF(T35="","",MATCH(T35,$AW$2:$AW$6,0))</f>
        <v/>
      </c>
      <c r="BH35" s="17">
        <f>IF(U35="","",MATCH(U35,$AW$2:$AW$6,0))</f>
        <v/>
      </c>
      <c r="BI35" s="17">
        <f>IF(V35="","",MATCH(V35,$AW$2:$AW$6,0))</f>
        <v/>
      </c>
      <c r="BJ35" s="17">
        <f>IF(W35="","",MATCH(W35,$AW$2:$AW$6,0))</f>
        <v/>
      </c>
      <c r="BK35" s="17">
        <f>IF(X35="","",MATCH(X35,$AW$2:$AW$6,0))</f>
        <v/>
      </c>
      <c r="BL35" s="17">
        <f>IF(Y35="","",MATCH(Y35,$AW$2:$AW$6,0))</f>
        <v/>
      </c>
      <c r="BM35" s="17">
        <f>IF(Z35="","",MATCH(Z35,$AW$2:$AW$6,0))</f>
        <v/>
      </c>
      <c r="BN35" s="17">
        <f>IF(AA35="","",MATCH(AA35,$AW$2:$AW$6,0))</f>
        <v/>
      </c>
      <c r="BO35" s="17">
        <f>IF(AB35="","",MATCH(AB35,$AW$2:$AW$6,0))</f>
        <v/>
      </c>
      <c r="BP35" s="17">
        <f>IF(AC35="","",MATCH(AC35,$AW$2:$AW$6,0))</f>
        <v/>
      </c>
      <c r="BQ35" s="17">
        <f>IF(AD35="","",MATCH(AD35,$AW$2:$AW$6,0))</f>
        <v/>
      </c>
      <c r="BR35" s="17">
        <f>IF(AE35="","",MATCH(AE35,$AW$2:$AW$6,0))</f>
        <v/>
      </c>
      <c r="BS35" s="17">
        <f>IF(AF35="","",MATCH(AF35,$AW$2:$AW$6,0))</f>
        <v/>
      </c>
      <c r="BT35" s="17">
        <f>IF(AG35="","",MATCH(AG35,$AW$2:$AW$6,0))</f>
        <v/>
      </c>
      <c r="BU35" s="17">
        <f>IF(AH35="","",MATCH(AH35,$AW$2:$AW$6,0))</f>
        <v/>
      </c>
      <c r="BV35" s="17">
        <f>IF(AI35="","",MATCH(AI35,$AW$2:$AW$6,0))</f>
        <v/>
      </c>
      <c r="BW35" s="17">
        <f>IF(AJ35="","",MATCH(AJ35,$AW$2:$AW$6,0))</f>
        <v/>
      </c>
      <c r="BX35" s="17">
        <f>IF(AK35="","",MATCH(AK35,$AW$2:$AW$6,0))</f>
        <v/>
      </c>
      <c r="BY35" s="17">
        <f>IF(AL35="","",MATCH(AL35,$AW$2:$AW$6,0))</f>
        <v/>
      </c>
      <c r="BZ35" s="17">
        <f>IF(AM35="","",MATCH(AM35,$AW$2:$AW$6,0))</f>
        <v/>
      </c>
      <c r="CA35" s="17">
        <f>IF(AN35="","",MATCH(AN35,$AW$2:$AW$6,0))</f>
        <v/>
      </c>
      <c r="CB35" s="17">
        <f>IF(AO35="","",MATCH(AO35,$AW$2:$AW$6,0))</f>
        <v/>
      </c>
      <c r="CC35" s="17">
        <f>IF(AP35="","",MATCH(AP35,$AW$2:$AW$6,0))</f>
        <v/>
      </c>
      <c r="CD35" s="17">
        <f>IF(AQ35="","",MATCH(AQ35,$AW$2:$AW$6,0))</f>
        <v/>
      </c>
      <c r="CE35" s="34" t="n"/>
      <c r="CF35" s="34" t="n"/>
      <c r="CG35" s="34" t="n"/>
      <c r="CH35" s="34" t="n"/>
      <c r="CI35" s="16">
        <f>IF(AR35="","",AR35)</f>
        <v/>
      </c>
      <c r="CJ35" s="16">
        <f>IF(AS35="","",AS35)</f>
        <v/>
      </c>
      <c r="CK35" s="16">
        <f>IF(AT35="","",AT35)</f>
        <v/>
      </c>
      <c r="CL35" s="16">
        <f>IF(AU35="","",AU35)</f>
        <v/>
      </c>
      <c r="CM35" s="35">
        <f>IF(AY35="","",IF(COUNTIF($AY$5:$AY$64,AY35)&gt;1,"중복! 마지막 것만 남기세요",""))</f>
        <v/>
      </c>
    </row>
    <row r="36">
      <c r="AY36" s="16">
        <f>IF(AND(B36="",C36=""),"",TRIM(B36)&amp;" "&amp;TRIM(C36))</f>
        <v/>
      </c>
      <c r="AZ36" s="17">
        <f>IF(AND(B36="",C36=""),"",SUMPRODUCT(--(D36:M36=$D$3:$M$3)))</f>
        <v/>
      </c>
      <c r="BA36" s="17">
        <f>IF(N36="","",MATCH(N36,$AW$2:$AW$6,0))</f>
        <v/>
      </c>
      <c r="BB36" s="17">
        <f>IF(O36="","",MATCH(O36,$AW$2:$AW$6,0))</f>
        <v/>
      </c>
      <c r="BC36" s="17">
        <f>IF(P36="","",MATCH(P36,$AW$2:$AW$6,0))</f>
        <v/>
      </c>
      <c r="BD36" s="17">
        <f>IF(Q36="","",MATCH(Q36,$AW$2:$AW$6,0))</f>
        <v/>
      </c>
      <c r="BE36" s="17">
        <f>IF(R36="","",MATCH(R36,$AW$2:$AW$6,0))</f>
        <v/>
      </c>
      <c r="BF36" s="17">
        <f>IF(S36="","",MATCH(S36,$AW$2:$AW$6,0))</f>
        <v/>
      </c>
      <c r="BG36" s="17">
        <f>IF(T36="","",MATCH(T36,$AW$2:$AW$6,0))</f>
        <v/>
      </c>
      <c r="BH36" s="17">
        <f>IF(U36="","",MATCH(U36,$AW$2:$AW$6,0))</f>
        <v/>
      </c>
      <c r="BI36" s="17">
        <f>IF(V36="","",MATCH(V36,$AW$2:$AW$6,0))</f>
        <v/>
      </c>
      <c r="BJ36" s="17">
        <f>IF(W36="","",MATCH(W36,$AW$2:$AW$6,0))</f>
        <v/>
      </c>
      <c r="BK36" s="17">
        <f>IF(X36="","",MATCH(X36,$AW$2:$AW$6,0))</f>
        <v/>
      </c>
      <c r="BL36" s="17">
        <f>IF(Y36="","",MATCH(Y36,$AW$2:$AW$6,0))</f>
        <v/>
      </c>
      <c r="BM36" s="17">
        <f>IF(Z36="","",MATCH(Z36,$AW$2:$AW$6,0))</f>
        <v/>
      </c>
      <c r="BN36" s="17">
        <f>IF(AA36="","",MATCH(AA36,$AW$2:$AW$6,0))</f>
        <v/>
      </c>
      <c r="BO36" s="17">
        <f>IF(AB36="","",MATCH(AB36,$AW$2:$AW$6,0))</f>
        <v/>
      </c>
      <c r="BP36" s="17">
        <f>IF(AC36="","",MATCH(AC36,$AW$2:$AW$6,0))</f>
        <v/>
      </c>
      <c r="BQ36" s="17">
        <f>IF(AD36="","",MATCH(AD36,$AW$2:$AW$6,0))</f>
        <v/>
      </c>
      <c r="BR36" s="17">
        <f>IF(AE36="","",MATCH(AE36,$AW$2:$AW$6,0))</f>
        <v/>
      </c>
      <c r="BS36" s="17">
        <f>IF(AF36="","",MATCH(AF36,$AW$2:$AW$6,0))</f>
        <v/>
      </c>
      <c r="BT36" s="17">
        <f>IF(AG36="","",MATCH(AG36,$AW$2:$AW$6,0))</f>
        <v/>
      </c>
      <c r="BU36" s="17">
        <f>IF(AH36="","",MATCH(AH36,$AW$2:$AW$6,0))</f>
        <v/>
      </c>
      <c r="BV36" s="17">
        <f>IF(AI36="","",MATCH(AI36,$AW$2:$AW$6,0))</f>
        <v/>
      </c>
      <c r="BW36" s="17">
        <f>IF(AJ36="","",MATCH(AJ36,$AW$2:$AW$6,0))</f>
        <v/>
      </c>
      <c r="BX36" s="17">
        <f>IF(AK36="","",MATCH(AK36,$AW$2:$AW$6,0))</f>
        <v/>
      </c>
      <c r="BY36" s="17">
        <f>IF(AL36="","",MATCH(AL36,$AW$2:$AW$6,0))</f>
        <v/>
      </c>
      <c r="BZ36" s="17">
        <f>IF(AM36="","",MATCH(AM36,$AW$2:$AW$6,0))</f>
        <v/>
      </c>
      <c r="CA36" s="17">
        <f>IF(AN36="","",MATCH(AN36,$AW$2:$AW$6,0))</f>
        <v/>
      </c>
      <c r="CB36" s="17">
        <f>IF(AO36="","",MATCH(AO36,$AW$2:$AW$6,0))</f>
        <v/>
      </c>
      <c r="CC36" s="17">
        <f>IF(AP36="","",MATCH(AP36,$AW$2:$AW$6,0))</f>
        <v/>
      </c>
      <c r="CD36" s="17">
        <f>IF(AQ36="","",MATCH(AQ36,$AW$2:$AW$6,0))</f>
        <v/>
      </c>
      <c r="CE36" s="34" t="n"/>
      <c r="CF36" s="34" t="n"/>
      <c r="CG36" s="34" t="n"/>
      <c r="CH36" s="34" t="n"/>
      <c r="CI36" s="16">
        <f>IF(AR36="","",AR36)</f>
        <v/>
      </c>
      <c r="CJ36" s="16">
        <f>IF(AS36="","",AS36)</f>
        <v/>
      </c>
      <c r="CK36" s="16">
        <f>IF(AT36="","",AT36)</f>
        <v/>
      </c>
      <c r="CL36" s="16">
        <f>IF(AU36="","",AU36)</f>
        <v/>
      </c>
      <c r="CM36" s="35">
        <f>IF(AY36="","",IF(COUNTIF($AY$5:$AY$64,AY36)&gt;1,"중복! 마지막 것만 남기세요",""))</f>
        <v/>
      </c>
    </row>
    <row r="37">
      <c r="AY37" s="16">
        <f>IF(AND(B37="",C37=""),"",TRIM(B37)&amp;" "&amp;TRIM(C37))</f>
        <v/>
      </c>
      <c r="AZ37" s="17">
        <f>IF(AND(B37="",C37=""),"",SUMPRODUCT(--(D37:M37=$D$3:$M$3)))</f>
        <v/>
      </c>
      <c r="BA37" s="17">
        <f>IF(N37="","",MATCH(N37,$AW$2:$AW$6,0))</f>
        <v/>
      </c>
      <c r="BB37" s="17">
        <f>IF(O37="","",MATCH(O37,$AW$2:$AW$6,0))</f>
        <v/>
      </c>
      <c r="BC37" s="17">
        <f>IF(P37="","",MATCH(P37,$AW$2:$AW$6,0))</f>
        <v/>
      </c>
      <c r="BD37" s="17">
        <f>IF(Q37="","",MATCH(Q37,$AW$2:$AW$6,0))</f>
        <v/>
      </c>
      <c r="BE37" s="17">
        <f>IF(R37="","",MATCH(R37,$AW$2:$AW$6,0))</f>
        <v/>
      </c>
      <c r="BF37" s="17">
        <f>IF(S37="","",MATCH(S37,$AW$2:$AW$6,0))</f>
        <v/>
      </c>
      <c r="BG37" s="17">
        <f>IF(T37="","",MATCH(T37,$AW$2:$AW$6,0))</f>
        <v/>
      </c>
      <c r="BH37" s="17">
        <f>IF(U37="","",MATCH(U37,$AW$2:$AW$6,0))</f>
        <v/>
      </c>
      <c r="BI37" s="17">
        <f>IF(V37="","",MATCH(V37,$AW$2:$AW$6,0))</f>
        <v/>
      </c>
      <c r="BJ37" s="17">
        <f>IF(W37="","",MATCH(W37,$AW$2:$AW$6,0))</f>
        <v/>
      </c>
      <c r="BK37" s="17">
        <f>IF(X37="","",MATCH(X37,$AW$2:$AW$6,0))</f>
        <v/>
      </c>
      <c r="BL37" s="17">
        <f>IF(Y37="","",MATCH(Y37,$AW$2:$AW$6,0))</f>
        <v/>
      </c>
      <c r="BM37" s="17">
        <f>IF(Z37="","",MATCH(Z37,$AW$2:$AW$6,0))</f>
        <v/>
      </c>
      <c r="BN37" s="17">
        <f>IF(AA37="","",MATCH(AA37,$AW$2:$AW$6,0))</f>
        <v/>
      </c>
      <c r="BO37" s="17">
        <f>IF(AB37="","",MATCH(AB37,$AW$2:$AW$6,0))</f>
        <v/>
      </c>
      <c r="BP37" s="17">
        <f>IF(AC37="","",MATCH(AC37,$AW$2:$AW$6,0))</f>
        <v/>
      </c>
      <c r="BQ37" s="17">
        <f>IF(AD37="","",MATCH(AD37,$AW$2:$AW$6,0))</f>
        <v/>
      </c>
      <c r="BR37" s="17">
        <f>IF(AE37="","",MATCH(AE37,$AW$2:$AW$6,0))</f>
        <v/>
      </c>
      <c r="BS37" s="17">
        <f>IF(AF37="","",MATCH(AF37,$AW$2:$AW$6,0))</f>
        <v/>
      </c>
      <c r="BT37" s="17">
        <f>IF(AG37="","",MATCH(AG37,$AW$2:$AW$6,0))</f>
        <v/>
      </c>
      <c r="BU37" s="17">
        <f>IF(AH37="","",MATCH(AH37,$AW$2:$AW$6,0))</f>
        <v/>
      </c>
      <c r="BV37" s="17">
        <f>IF(AI37="","",MATCH(AI37,$AW$2:$AW$6,0))</f>
        <v/>
      </c>
      <c r="BW37" s="17">
        <f>IF(AJ37="","",MATCH(AJ37,$AW$2:$AW$6,0))</f>
        <v/>
      </c>
      <c r="BX37" s="17">
        <f>IF(AK37="","",MATCH(AK37,$AW$2:$AW$6,0))</f>
        <v/>
      </c>
      <c r="BY37" s="17">
        <f>IF(AL37="","",MATCH(AL37,$AW$2:$AW$6,0))</f>
        <v/>
      </c>
      <c r="BZ37" s="17">
        <f>IF(AM37="","",MATCH(AM37,$AW$2:$AW$6,0))</f>
        <v/>
      </c>
      <c r="CA37" s="17">
        <f>IF(AN37="","",MATCH(AN37,$AW$2:$AW$6,0))</f>
        <v/>
      </c>
      <c r="CB37" s="17">
        <f>IF(AO37="","",MATCH(AO37,$AW$2:$AW$6,0))</f>
        <v/>
      </c>
      <c r="CC37" s="17">
        <f>IF(AP37="","",MATCH(AP37,$AW$2:$AW$6,0))</f>
        <v/>
      </c>
      <c r="CD37" s="17">
        <f>IF(AQ37="","",MATCH(AQ37,$AW$2:$AW$6,0))</f>
        <v/>
      </c>
      <c r="CE37" s="34" t="n"/>
      <c r="CF37" s="34" t="n"/>
      <c r="CG37" s="34" t="n"/>
      <c r="CH37" s="34" t="n"/>
      <c r="CI37" s="16">
        <f>IF(AR37="","",AR37)</f>
        <v/>
      </c>
      <c r="CJ37" s="16">
        <f>IF(AS37="","",AS37)</f>
        <v/>
      </c>
      <c r="CK37" s="16">
        <f>IF(AT37="","",AT37)</f>
        <v/>
      </c>
      <c r="CL37" s="16">
        <f>IF(AU37="","",AU37)</f>
        <v/>
      </c>
      <c r="CM37" s="35">
        <f>IF(AY37="","",IF(COUNTIF($AY$5:$AY$64,AY37)&gt;1,"중복! 마지막 것만 남기세요",""))</f>
        <v/>
      </c>
    </row>
    <row r="38">
      <c r="AY38" s="16">
        <f>IF(AND(B38="",C38=""),"",TRIM(B38)&amp;" "&amp;TRIM(C38))</f>
        <v/>
      </c>
      <c r="AZ38" s="17">
        <f>IF(AND(B38="",C38=""),"",SUMPRODUCT(--(D38:M38=$D$3:$M$3)))</f>
        <v/>
      </c>
      <c r="BA38" s="17">
        <f>IF(N38="","",MATCH(N38,$AW$2:$AW$6,0))</f>
        <v/>
      </c>
      <c r="BB38" s="17">
        <f>IF(O38="","",MATCH(O38,$AW$2:$AW$6,0))</f>
        <v/>
      </c>
      <c r="BC38" s="17">
        <f>IF(P38="","",MATCH(P38,$AW$2:$AW$6,0))</f>
        <v/>
      </c>
      <c r="BD38" s="17">
        <f>IF(Q38="","",MATCH(Q38,$AW$2:$AW$6,0))</f>
        <v/>
      </c>
      <c r="BE38" s="17">
        <f>IF(R38="","",MATCH(R38,$AW$2:$AW$6,0))</f>
        <v/>
      </c>
      <c r="BF38" s="17">
        <f>IF(S38="","",MATCH(S38,$AW$2:$AW$6,0))</f>
        <v/>
      </c>
      <c r="BG38" s="17">
        <f>IF(T38="","",MATCH(T38,$AW$2:$AW$6,0))</f>
        <v/>
      </c>
      <c r="BH38" s="17">
        <f>IF(U38="","",MATCH(U38,$AW$2:$AW$6,0))</f>
        <v/>
      </c>
      <c r="BI38" s="17">
        <f>IF(V38="","",MATCH(V38,$AW$2:$AW$6,0))</f>
        <v/>
      </c>
      <c r="BJ38" s="17">
        <f>IF(W38="","",MATCH(W38,$AW$2:$AW$6,0))</f>
        <v/>
      </c>
      <c r="BK38" s="17">
        <f>IF(X38="","",MATCH(X38,$AW$2:$AW$6,0))</f>
        <v/>
      </c>
      <c r="BL38" s="17">
        <f>IF(Y38="","",MATCH(Y38,$AW$2:$AW$6,0))</f>
        <v/>
      </c>
      <c r="BM38" s="17">
        <f>IF(Z38="","",MATCH(Z38,$AW$2:$AW$6,0))</f>
        <v/>
      </c>
      <c r="BN38" s="17">
        <f>IF(AA38="","",MATCH(AA38,$AW$2:$AW$6,0))</f>
        <v/>
      </c>
      <c r="BO38" s="17">
        <f>IF(AB38="","",MATCH(AB38,$AW$2:$AW$6,0))</f>
        <v/>
      </c>
      <c r="BP38" s="17">
        <f>IF(AC38="","",MATCH(AC38,$AW$2:$AW$6,0))</f>
        <v/>
      </c>
      <c r="BQ38" s="17">
        <f>IF(AD38="","",MATCH(AD38,$AW$2:$AW$6,0))</f>
        <v/>
      </c>
      <c r="BR38" s="17">
        <f>IF(AE38="","",MATCH(AE38,$AW$2:$AW$6,0))</f>
        <v/>
      </c>
      <c r="BS38" s="17">
        <f>IF(AF38="","",MATCH(AF38,$AW$2:$AW$6,0))</f>
        <v/>
      </c>
      <c r="BT38" s="17">
        <f>IF(AG38="","",MATCH(AG38,$AW$2:$AW$6,0))</f>
        <v/>
      </c>
      <c r="BU38" s="17">
        <f>IF(AH38="","",MATCH(AH38,$AW$2:$AW$6,0))</f>
        <v/>
      </c>
      <c r="BV38" s="17">
        <f>IF(AI38="","",MATCH(AI38,$AW$2:$AW$6,0))</f>
        <v/>
      </c>
      <c r="BW38" s="17">
        <f>IF(AJ38="","",MATCH(AJ38,$AW$2:$AW$6,0))</f>
        <v/>
      </c>
      <c r="BX38" s="17">
        <f>IF(AK38="","",MATCH(AK38,$AW$2:$AW$6,0))</f>
        <v/>
      </c>
      <c r="BY38" s="17">
        <f>IF(AL38="","",MATCH(AL38,$AW$2:$AW$6,0))</f>
        <v/>
      </c>
      <c r="BZ38" s="17">
        <f>IF(AM38="","",MATCH(AM38,$AW$2:$AW$6,0))</f>
        <v/>
      </c>
      <c r="CA38" s="17">
        <f>IF(AN38="","",MATCH(AN38,$AW$2:$AW$6,0))</f>
        <v/>
      </c>
      <c r="CB38" s="17">
        <f>IF(AO38="","",MATCH(AO38,$AW$2:$AW$6,0))</f>
        <v/>
      </c>
      <c r="CC38" s="17">
        <f>IF(AP38="","",MATCH(AP38,$AW$2:$AW$6,0))</f>
        <v/>
      </c>
      <c r="CD38" s="17">
        <f>IF(AQ38="","",MATCH(AQ38,$AW$2:$AW$6,0))</f>
        <v/>
      </c>
      <c r="CE38" s="34" t="n"/>
      <c r="CF38" s="34" t="n"/>
      <c r="CG38" s="34" t="n"/>
      <c r="CH38" s="34" t="n"/>
      <c r="CI38" s="16">
        <f>IF(AR38="","",AR38)</f>
        <v/>
      </c>
      <c r="CJ38" s="16">
        <f>IF(AS38="","",AS38)</f>
        <v/>
      </c>
      <c r="CK38" s="16">
        <f>IF(AT38="","",AT38)</f>
        <v/>
      </c>
      <c r="CL38" s="16">
        <f>IF(AU38="","",AU38)</f>
        <v/>
      </c>
      <c r="CM38" s="35">
        <f>IF(AY38="","",IF(COUNTIF($AY$5:$AY$64,AY38)&gt;1,"중복! 마지막 것만 남기세요",""))</f>
        <v/>
      </c>
    </row>
    <row r="39">
      <c r="AY39" s="16">
        <f>IF(AND(B39="",C39=""),"",TRIM(B39)&amp;" "&amp;TRIM(C39))</f>
        <v/>
      </c>
      <c r="AZ39" s="17">
        <f>IF(AND(B39="",C39=""),"",SUMPRODUCT(--(D39:M39=$D$3:$M$3)))</f>
        <v/>
      </c>
      <c r="BA39" s="17">
        <f>IF(N39="","",MATCH(N39,$AW$2:$AW$6,0))</f>
        <v/>
      </c>
      <c r="BB39" s="17">
        <f>IF(O39="","",MATCH(O39,$AW$2:$AW$6,0))</f>
        <v/>
      </c>
      <c r="BC39" s="17">
        <f>IF(P39="","",MATCH(P39,$AW$2:$AW$6,0))</f>
        <v/>
      </c>
      <c r="BD39" s="17">
        <f>IF(Q39="","",MATCH(Q39,$AW$2:$AW$6,0))</f>
        <v/>
      </c>
      <c r="BE39" s="17">
        <f>IF(R39="","",MATCH(R39,$AW$2:$AW$6,0))</f>
        <v/>
      </c>
      <c r="BF39" s="17">
        <f>IF(S39="","",MATCH(S39,$AW$2:$AW$6,0))</f>
        <v/>
      </c>
      <c r="BG39" s="17">
        <f>IF(T39="","",MATCH(T39,$AW$2:$AW$6,0))</f>
        <v/>
      </c>
      <c r="BH39" s="17">
        <f>IF(U39="","",MATCH(U39,$AW$2:$AW$6,0))</f>
        <v/>
      </c>
      <c r="BI39" s="17">
        <f>IF(V39="","",MATCH(V39,$AW$2:$AW$6,0))</f>
        <v/>
      </c>
      <c r="BJ39" s="17">
        <f>IF(W39="","",MATCH(W39,$AW$2:$AW$6,0))</f>
        <v/>
      </c>
      <c r="BK39" s="17">
        <f>IF(X39="","",MATCH(X39,$AW$2:$AW$6,0))</f>
        <v/>
      </c>
      <c r="BL39" s="17">
        <f>IF(Y39="","",MATCH(Y39,$AW$2:$AW$6,0))</f>
        <v/>
      </c>
      <c r="BM39" s="17">
        <f>IF(Z39="","",MATCH(Z39,$AW$2:$AW$6,0))</f>
        <v/>
      </c>
      <c r="BN39" s="17">
        <f>IF(AA39="","",MATCH(AA39,$AW$2:$AW$6,0))</f>
        <v/>
      </c>
      <c r="BO39" s="17">
        <f>IF(AB39="","",MATCH(AB39,$AW$2:$AW$6,0))</f>
        <v/>
      </c>
      <c r="BP39" s="17">
        <f>IF(AC39="","",MATCH(AC39,$AW$2:$AW$6,0))</f>
        <v/>
      </c>
      <c r="BQ39" s="17">
        <f>IF(AD39="","",MATCH(AD39,$AW$2:$AW$6,0))</f>
        <v/>
      </c>
      <c r="BR39" s="17">
        <f>IF(AE39="","",MATCH(AE39,$AW$2:$AW$6,0))</f>
        <v/>
      </c>
      <c r="BS39" s="17">
        <f>IF(AF39="","",MATCH(AF39,$AW$2:$AW$6,0))</f>
        <v/>
      </c>
      <c r="BT39" s="17">
        <f>IF(AG39="","",MATCH(AG39,$AW$2:$AW$6,0))</f>
        <v/>
      </c>
      <c r="BU39" s="17">
        <f>IF(AH39="","",MATCH(AH39,$AW$2:$AW$6,0))</f>
        <v/>
      </c>
      <c r="BV39" s="17">
        <f>IF(AI39="","",MATCH(AI39,$AW$2:$AW$6,0))</f>
        <v/>
      </c>
      <c r="BW39" s="17">
        <f>IF(AJ39="","",MATCH(AJ39,$AW$2:$AW$6,0))</f>
        <v/>
      </c>
      <c r="BX39" s="17">
        <f>IF(AK39="","",MATCH(AK39,$AW$2:$AW$6,0))</f>
        <v/>
      </c>
      <c r="BY39" s="17">
        <f>IF(AL39="","",MATCH(AL39,$AW$2:$AW$6,0))</f>
        <v/>
      </c>
      <c r="BZ39" s="17">
        <f>IF(AM39="","",MATCH(AM39,$AW$2:$AW$6,0))</f>
        <v/>
      </c>
      <c r="CA39" s="17">
        <f>IF(AN39="","",MATCH(AN39,$AW$2:$AW$6,0))</f>
        <v/>
      </c>
      <c r="CB39" s="17">
        <f>IF(AO39="","",MATCH(AO39,$AW$2:$AW$6,0))</f>
        <v/>
      </c>
      <c r="CC39" s="17">
        <f>IF(AP39="","",MATCH(AP39,$AW$2:$AW$6,0))</f>
        <v/>
      </c>
      <c r="CD39" s="17">
        <f>IF(AQ39="","",MATCH(AQ39,$AW$2:$AW$6,0))</f>
        <v/>
      </c>
      <c r="CE39" s="34" t="n"/>
      <c r="CF39" s="34" t="n"/>
      <c r="CG39" s="34" t="n"/>
      <c r="CH39" s="34" t="n"/>
      <c r="CI39" s="16">
        <f>IF(AR39="","",AR39)</f>
        <v/>
      </c>
      <c r="CJ39" s="16">
        <f>IF(AS39="","",AS39)</f>
        <v/>
      </c>
      <c r="CK39" s="16">
        <f>IF(AT39="","",AT39)</f>
        <v/>
      </c>
      <c r="CL39" s="16">
        <f>IF(AU39="","",AU39)</f>
        <v/>
      </c>
      <c r="CM39" s="35">
        <f>IF(AY39="","",IF(COUNTIF($AY$5:$AY$64,AY39)&gt;1,"중복! 마지막 것만 남기세요",""))</f>
        <v/>
      </c>
    </row>
    <row r="40">
      <c r="AY40" s="16">
        <f>IF(AND(B40="",C40=""),"",TRIM(B40)&amp;" "&amp;TRIM(C40))</f>
        <v/>
      </c>
      <c r="AZ40" s="17">
        <f>IF(AND(B40="",C40=""),"",SUMPRODUCT(--(D40:M40=$D$3:$M$3)))</f>
        <v/>
      </c>
      <c r="BA40" s="17">
        <f>IF(N40="","",MATCH(N40,$AW$2:$AW$6,0))</f>
        <v/>
      </c>
      <c r="BB40" s="17">
        <f>IF(O40="","",MATCH(O40,$AW$2:$AW$6,0))</f>
        <v/>
      </c>
      <c r="BC40" s="17">
        <f>IF(P40="","",MATCH(P40,$AW$2:$AW$6,0))</f>
        <v/>
      </c>
      <c r="BD40" s="17">
        <f>IF(Q40="","",MATCH(Q40,$AW$2:$AW$6,0))</f>
        <v/>
      </c>
      <c r="BE40" s="17">
        <f>IF(R40="","",MATCH(R40,$AW$2:$AW$6,0))</f>
        <v/>
      </c>
      <c r="BF40" s="17">
        <f>IF(S40="","",MATCH(S40,$AW$2:$AW$6,0))</f>
        <v/>
      </c>
      <c r="BG40" s="17">
        <f>IF(T40="","",MATCH(T40,$AW$2:$AW$6,0))</f>
        <v/>
      </c>
      <c r="BH40" s="17">
        <f>IF(U40="","",MATCH(U40,$AW$2:$AW$6,0))</f>
        <v/>
      </c>
      <c r="BI40" s="17">
        <f>IF(V40="","",MATCH(V40,$AW$2:$AW$6,0))</f>
        <v/>
      </c>
      <c r="BJ40" s="17">
        <f>IF(W40="","",MATCH(W40,$AW$2:$AW$6,0))</f>
        <v/>
      </c>
      <c r="BK40" s="17">
        <f>IF(X40="","",MATCH(X40,$AW$2:$AW$6,0))</f>
        <v/>
      </c>
      <c r="BL40" s="17">
        <f>IF(Y40="","",MATCH(Y40,$AW$2:$AW$6,0))</f>
        <v/>
      </c>
      <c r="BM40" s="17">
        <f>IF(Z40="","",MATCH(Z40,$AW$2:$AW$6,0))</f>
        <v/>
      </c>
      <c r="BN40" s="17">
        <f>IF(AA40="","",MATCH(AA40,$AW$2:$AW$6,0))</f>
        <v/>
      </c>
      <c r="BO40" s="17">
        <f>IF(AB40="","",MATCH(AB40,$AW$2:$AW$6,0))</f>
        <v/>
      </c>
      <c r="BP40" s="17">
        <f>IF(AC40="","",MATCH(AC40,$AW$2:$AW$6,0))</f>
        <v/>
      </c>
      <c r="BQ40" s="17">
        <f>IF(AD40="","",MATCH(AD40,$AW$2:$AW$6,0))</f>
        <v/>
      </c>
      <c r="BR40" s="17">
        <f>IF(AE40="","",MATCH(AE40,$AW$2:$AW$6,0))</f>
        <v/>
      </c>
      <c r="BS40" s="17">
        <f>IF(AF40="","",MATCH(AF40,$AW$2:$AW$6,0))</f>
        <v/>
      </c>
      <c r="BT40" s="17">
        <f>IF(AG40="","",MATCH(AG40,$AW$2:$AW$6,0))</f>
        <v/>
      </c>
      <c r="BU40" s="17">
        <f>IF(AH40="","",MATCH(AH40,$AW$2:$AW$6,0))</f>
        <v/>
      </c>
      <c r="BV40" s="17">
        <f>IF(AI40="","",MATCH(AI40,$AW$2:$AW$6,0))</f>
        <v/>
      </c>
      <c r="BW40" s="17">
        <f>IF(AJ40="","",MATCH(AJ40,$AW$2:$AW$6,0))</f>
        <v/>
      </c>
      <c r="BX40" s="17">
        <f>IF(AK40="","",MATCH(AK40,$AW$2:$AW$6,0))</f>
        <v/>
      </c>
      <c r="BY40" s="17">
        <f>IF(AL40="","",MATCH(AL40,$AW$2:$AW$6,0))</f>
        <v/>
      </c>
      <c r="BZ40" s="17">
        <f>IF(AM40="","",MATCH(AM40,$AW$2:$AW$6,0))</f>
        <v/>
      </c>
      <c r="CA40" s="17">
        <f>IF(AN40="","",MATCH(AN40,$AW$2:$AW$6,0))</f>
        <v/>
      </c>
      <c r="CB40" s="17">
        <f>IF(AO40="","",MATCH(AO40,$AW$2:$AW$6,0))</f>
        <v/>
      </c>
      <c r="CC40" s="17">
        <f>IF(AP40="","",MATCH(AP40,$AW$2:$AW$6,0))</f>
        <v/>
      </c>
      <c r="CD40" s="17">
        <f>IF(AQ40="","",MATCH(AQ40,$AW$2:$AW$6,0))</f>
        <v/>
      </c>
      <c r="CE40" s="34" t="n"/>
      <c r="CF40" s="34" t="n"/>
      <c r="CG40" s="34" t="n"/>
      <c r="CH40" s="34" t="n"/>
      <c r="CI40" s="16">
        <f>IF(AR40="","",AR40)</f>
        <v/>
      </c>
      <c r="CJ40" s="16">
        <f>IF(AS40="","",AS40)</f>
        <v/>
      </c>
      <c r="CK40" s="16">
        <f>IF(AT40="","",AT40)</f>
        <v/>
      </c>
      <c r="CL40" s="16">
        <f>IF(AU40="","",AU40)</f>
        <v/>
      </c>
      <c r="CM40" s="35">
        <f>IF(AY40="","",IF(COUNTIF($AY$5:$AY$64,AY40)&gt;1,"중복! 마지막 것만 남기세요",""))</f>
        <v/>
      </c>
    </row>
    <row r="41">
      <c r="AY41" s="16">
        <f>IF(AND(B41="",C41=""),"",TRIM(B41)&amp;" "&amp;TRIM(C41))</f>
        <v/>
      </c>
      <c r="AZ41" s="17">
        <f>IF(AND(B41="",C41=""),"",SUMPRODUCT(--(D41:M41=$D$3:$M$3)))</f>
        <v/>
      </c>
      <c r="BA41" s="17">
        <f>IF(N41="","",MATCH(N41,$AW$2:$AW$6,0))</f>
        <v/>
      </c>
      <c r="BB41" s="17">
        <f>IF(O41="","",MATCH(O41,$AW$2:$AW$6,0))</f>
        <v/>
      </c>
      <c r="BC41" s="17">
        <f>IF(P41="","",MATCH(P41,$AW$2:$AW$6,0))</f>
        <v/>
      </c>
      <c r="BD41" s="17">
        <f>IF(Q41="","",MATCH(Q41,$AW$2:$AW$6,0))</f>
        <v/>
      </c>
      <c r="BE41" s="17">
        <f>IF(R41="","",MATCH(R41,$AW$2:$AW$6,0))</f>
        <v/>
      </c>
      <c r="BF41" s="17">
        <f>IF(S41="","",MATCH(S41,$AW$2:$AW$6,0))</f>
        <v/>
      </c>
      <c r="BG41" s="17">
        <f>IF(T41="","",MATCH(T41,$AW$2:$AW$6,0))</f>
        <v/>
      </c>
      <c r="BH41" s="17">
        <f>IF(U41="","",MATCH(U41,$AW$2:$AW$6,0))</f>
        <v/>
      </c>
      <c r="BI41" s="17">
        <f>IF(V41="","",MATCH(V41,$AW$2:$AW$6,0))</f>
        <v/>
      </c>
      <c r="BJ41" s="17">
        <f>IF(W41="","",MATCH(W41,$AW$2:$AW$6,0))</f>
        <v/>
      </c>
      <c r="BK41" s="17">
        <f>IF(X41="","",MATCH(X41,$AW$2:$AW$6,0))</f>
        <v/>
      </c>
      <c r="BL41" s="17">
        <f>IF(Y41="","",MATCH(Y41,$AW$2:$AW$6,0))</f>
        <v/>
      </c>
      <c r="BM41" s="17">
        <f>IF(Z41="","",MATCH(Z41,$AW$2:$AW$6,0))</f>
        <v/>
      </c>
      <c r="BN41" s="17">
        <f>IF(AA41="","",MATCH(AA41,$AW$2:$AW$6,0))</f>
        <v/>
      </c>
      <c r="BO41" s="17">
        <f>IF(AB41="","",MATCH(AB41,$AW$2:$AW$6,0))</f>
        <v/>
      </c>
      <c r="BP41" s="17">
        <f>IF(AC41="","",MATCH(AC41,$AW$2:$AW$6,0))</f>
        <v/>
      </c>
      <c r="BQ41" s="17">
        <f>IF(AD41="","",MATCH(AD41,$AW$2:$AW$6,0))</f>
        <v/>
      </c>
      <c r="BR41" s="17">
        <f>IF(AE41="","",MATCH(AE41,$AW$2:$AW$6,0))</f>
        <v/>
      </c>
      <c r="BS41" s="17">
        <f>IF(AF41="","",MATCH(AF41,$AW$2:$AW$6,0))</f>
        <v/>
      </c>
      <c r="BT41" s="17">
        <f>IF(AG41="","",MATCH(AG41,$AW$2:$AW$6,0))</f>
        <v/>
      </c>
      <c r="BU41" s="17">
        <f>IF(AH41="","",MATCH(AH41,$AW$2:$AW$6,0))</f>
        <v/>
      </c>
      <c r="BV41" s="17">
        <f>IF(AI41="","",MATCH(AI41,$AW$2:$AW$6,0))</f>
        <v/>
      </c>
      <c r="BW41" s="17">
        <f>IF(AJ41="","",MATCH(AJ41,$AW$2:$AW$6,0))</f>
        <v/>
      </c>
      <c r="BX41" s="17">
        <f>IF(AK41="","",MATCH(AK41,$AW$2:$AW$6,0))</f>
        <v/>
      </c>
      <c r="BY41" s="17">
        <f>IF(AL41="","",MATCH(AL41,$AW$2:$AW$6,0))</f>
        <v/>
      </c>
      <c r="BZ41" s="17">
        <f>IF(AM41="","",MATCH(AM41,$AW$2:$AW$6,0))</f>
        <v/>
      </c>
      <c r="CA41" s="17">
        <f>IF(AN41="","",MATCH(AN41,$AW$2:$AW$6,0))</f>
        <v/>
      </c>
      <c r="CB41" s="17">
        <f>IF(AO41="","",MATCH(AO41,$AW$2:$AW$6,0))</f>
        <v/>
      </c>
      <c r="CC41" s="17">
        <f>IF(AP41="","",MATCH(AP41,$AW$2:$AW$6,0))</f>
        <v/>
      </c>
      <c r="CD41" s="17">
        <f>IF(AQ41="","",MATCH(AQ41,$AW$2:$AW$6,0))</f>
        <v/>
      </c>
      <c r="CE41" s="34" t="n"/>
      <c r="CF41" s="34" t="n"/>
      <c r="CG41" s="34" t="n"/>
      <c r="CH41" s="34" t="n"/>
      <c r="CI41" s="16">
        <f>IF(AR41="","",AR41)</f>
        <v/>
      </c>
      <c r="CJ41" s="16">
        <f>IF(AS41="","",AS41)</f>
        <v/>
      </c>
      <c r="CK41" s="16">
        <f>IF(AT41="","",AT41)</f>
        <v/>
      </c>
      <c r="CL41" s="16">
        <f>IF(AU41="","",AU41)</f>
        <v/>
      </c>
      <c r="CM41" s="35">
        <f>IF(AY41="","",IF(COUNTIF($AY$5:$AY$64,AY41)&gt;1,"중복! 마지막 것만 남기세요",""))</f>
        <v/>
      </c>
    </row>
    <row r="42">
      <c r="AY42" s="16">
        <f>IF(AND(B42="",C42=""),"",TRIM(B42)&amp;" "&amp;TRIM(C42))</f>
        <v/>
      </c>
      <c r="AZ42" s="17">
        <f>IF(AND(B42="",C42=""),"",SUMPRODUCT(--(D42:M42=$D$3:$M$3)))</f>
        <v/>
      </c>
      <c r="BA42" s="17">
        <f>IF(N42="","",MATCH(N42,$AW$2:$AW$6,0))</f>
        <v/>
      </c>
      <c r="BB42" s="17">
        <f>IF(O42="","",MATCH(O42,$AW$2:$AW$6,0))</f>
        <v/>
      </c>
      <c r="BC42" s="17">
        <f>IF(P42="","",MATCH(P42,$AW$2:$AW$6,0))</f>
        <v/>
      </c>
      <c r="BD42" s="17">
        <f>IF(Q42="","",MATCH(Q42,$AW$2:$AW$6,0))</f>
        <v/>
      </c>
      <c r="BE42" s="17">
        <f>IF(R42="","",MATCH(R42,$AW$2:$AW$6,0))</f>
        <v/>
      </c>
      <c r="BF42" s="17">
        <f>IF(S42="","",MATCH(S42,$AW$2:$AW$6,0))</f>
        <v/>
      </c>
      <c r="BG42" s="17">
        <f>IF(T42="","",MATCH(T42,$AW$2:$AW$6,0))</f>
        <v/>
      </c>
      <c r="BH42" s="17">
        <f>IF(U42="","",MATCH(U42,$AW$2:$AW$6,0))</f>
        <v/>
      </c>
      <c r="BI42" s="17">
        <f>IF(V42="","",MATCH(V42,$AW$2:$AW$6,0))</f>
        <v/>
      </c>
      <c r="BJ42" s="17">
        <f>IF(W42="","",MATCH(W42,$AW$2:$AW$6,0))</f>
        <v/>
      </c>
      <c r="BK42" s="17">
        <f>IF(X42="","",MATCH(X42,$AW$2:$AW$6,0))</f>
        <v/>
      </c>
      <c r="BL42" s="17">
        <f>IF(Y42="","",MATCH(Y42,$AW$2:$AW$6,0))</f>
        <v/>
      </c>
      <c r="BM42" s="17">
        <f>IF(Z42="","",MATCH(Z42,$AW$2:$AW$6,0))</f>
        <v/>
      </c>
      <c r="BN42" s="17">
        <f>IF(AA42="","",MATCH(AA42,$AW$2:$AW$6,0))</f>
        <v/>
      </c>
      <c r="BO42" s="17">
        <f>IF(AB42="","",MATCH(AB42,$AW$2:$AW$6,0))</f>
        <v/>
      </c>
      <c r="BP42" s="17">
        <f>IF(AC42="","",MATCH(AC42,$AW$2:$AW$6,0))</f>
        <v/>
      </c>
      <c r="BQ42" s="17">
        <f>IF(AD42="","",MATCH(AD42,$AW$2:$AW$6,0))</f>
        <v/>
      </c>
      <c r="BR42" s="17">
        <f>IF(AE42="","",MATCH(AE42,$AW$2:$AW$6,0))</f>
        <v/>
      </c>
      <c r="BS42" s="17">
        <f>IF(AF42="","",MATCH(AF42,$AW$2:$AW$6,0))</f>
        <v/>
      </c>
      <c r="BT42" s="17">
        <f>IF(AG42="","",MATCH(AG42,$AW$2:$AW$6,0))</f>
        <v/>
      </c>
      <c r="BU42" s="17">
        <f>IF(AH42="","",MATCH(AH42,$AW$2:$AW$6,0))</f>
        <v/>
      </c>
      <c r="BV42" s="17">
        <f>IF(AI42="","",MATCH(AI42,$AW$2:$AW$6,0))</f>
        <v/>
      </c>
      <c r="BW42" s="17">
        <f>IF(AJ42="","",MATCH(AJ42,$AW$2:$AW$6,0))</f>
        <v/>
      </c>
      <c r="BX42" s="17">
        <f>IF(AK42="","",MATCH(AK42,$AW$2:$AW$6,0))</f>
        <v/>
      </c>
      <c r="BY42" s="17">
        <f>IF(AL42="","",MATCH(AL42,$AW$2:$AW$6,0))</f>
        <v/>
      </c>
      <c r="BZ42" s="17">
        <f>IF(AM42="","",MATCH(AM42,$AW$2:$AW$6,0))</f>
        <v/>
      </c>
      <c r="CA42" s="17">
        <f>IF(AN42="","",MATCH(AN42,$AW$2:$AW$6,0))</f>
        <v/>
      </c>
      <c r="CB42" s="17">
        <f>IF(AO42="","",MATCH(AO42,$AW$2:$AW$6,0))</f>
        <v/>
      </c>
      <c r="CC42" s="17">
        <f>IF(AP42="","",MATCH(AP42,$AW$2:$AW$6,0))</f>
        <v/>
      </c>
      <c r="CD42" s="17">
        <f>IF(AQ42="","",MATCH(AQ42,$AW$2:$AW$6,0))</f>
        <v/>
      </c>
      <c r="CE42" s="34" t="n"/>
      <c r="CF42" s="34" t="n"/>
      <c r="CG42" s="34" t="n"/>
      <c r="CH42" s="34" t="n"/>
      <c r="CI42" s="16">
        <f>IF(AR42="","",AR42)</f>
        <v/>
      </c>
      <c r="CJ42" s="16">
        <f>IF(AS42="","",AS42)</f>
        <v/>
      </c>
      <c r="CK42" s="16">
        <f>IF(AT42="","",AT42)</f>
        <v/>
      </c>
      <c r="CL42" s="16">
        <f>IF(AU42="","",AU42)</f>
        <v/>
      </c>
      <c r="CM42" s="35">
        <f>IF(AY42="","",IF(COUNTIF($AY$5:$AY$64,AY42)&gt;1,"중복! 마지막 것만 남기세요",""))</f>
        <v/>
      </c>
    </row>
    <row r="43">
      <c r="AY43" s="16">
        <f>IF(AND(B43="",C43=""),"",TRIM(B43)&amp;" "&amp;TRIM(C43))</f>
        <v/>
      </c>
      <c r="AZ43" s="17">
        <f>IF(AND(B43="",C43=""),"",SUMPRODUCT(--(D43:M43=$D$3:$M$3)))</f>
        <v/>
      </c>
      <c r="BA43" s="17">
        <f>IF(N43="","",MATCH(N43,$AW$2:$AW$6,0))</f>
        <v/>
      </c>
      <c r="BB43" s="17">
        <f>IF(O43="","",MATCH(O43,$AW$2:$AW$6,0))</f>
        <v/>
      </c>
      <c r="BC43" s="17">
        <f>IF(P43="","",MATCH(P43,$AW$2:$AW$6,0))</f>
        <v/>
      </c>
      <c r="BD43" s="17">
        <f>IF(Q43="","",MATCH(Q43,$AW$2:$AW$6,0))</f>
        <v/>
      </c>
      <c r="BE43" s="17">
        <f>IF(R43="","",MATCH(R43,$AW$2:$AW$6,0))</f>
        <v/>
      </c>
      <c r="BF43" s="17">
        <f>IF(S43="","",MATCH(S43,$AW$2:$AW$6,0))</f>
        <v/>
      </c>
      <c r="BG43" s="17">
        <f>IF(T43="","",MATCH(T43,$AW$2:$AW$6,0))</f>
        <v/>
      </c>
      <c r="BH43" s="17">
        <f>IF(U43="","",MATCH(U43,$AW$2:$AW$6,0))</f>
        <v/>
      </c>
      <c r="BI43" s="17">
        <f>IF(V43="","",MATCH(V43,$AW$2:$AW$6,0))</f>
        <v/>
      </c>
      <c r="BJ43" s="17">
        <f>IF(W43="","",MATCH(W43,$AW$2:$AW$6,0))</f>
        <v/>
      </c>
      <c r="BK43" s="17">
        <f>IF(X43="","",MATCH(X43,$AW$2:$AW$6,0))</f>
        <v/>
      </c>
      <c r="BL43" s="17">
        <f>IF(Y43="","",MATCH(Y43,$AW$2:$AW$6,0))</f>
        <v/>
      </c>
      <c r="BM43" s="17">
        <f>IF(Z43="","",MATCH(Z43,$AW$2:$AW$6,0))</f>
        <v/>
      </c>
      <c r="BN43" s="17">
        <f>IF(AA43="","",MATCH(AA43,$AW$2:$AW$6,0))</f>
        <v/>
      </c>
      <c r="BO43" s="17">
        <f>IF(AB43="","",MATCH(AB43,$AW$2:$AW$6,0))</f>
        <v/>
      </c>
      <c r="BP43" s="17">
        <f>IF(AC43="","",MATCH(AC43,$AW$2:$AW$6,0))</f>
        <v/>
      </c>
      <c r="BQ43" s="17">
        <f>IF(AD43="","",MATCH(AD43,$AW$2:$AW$6,0))</f>
        <v/>
      </c>
      <c r="BR43" s="17">
        <f>IF(AE43="","",MATCH(AE43,$AW$2:$AW$6,0))</f>
        <v/>
      </c>
      <c r="BS43" s="17">
        <f>IF(AF43="","",MATCH(AF43,$AW$2:$AW$6,0))</f>
        <v/>
      </c>
      <c r="BT43" s="17">
        <f>IF(AG43="","",MATCH(AG43,$AW$2:$AW$6,0))</f>
        <v/>
      </c>
      <c r="BU43" s="17">
        <f>IF(AH43="","",MATCH(AH43,$AW$2:$AW$6,0))</f>
        <v/>
      </c>
      <c r="BV43" s="17">
        <f>IF(AI43="","",MATCH(AI43,$AW$2:$AW$6,0))</f>
        <v/>
      </c>
      <c r="BW43" s="17">
        <f>IF(AJ43="","",MATCH(AJ43,$AW$2:$AW$6,0))</f>
        <v/>
      </c>
      <c r="BX43" s="17">
        <f>IF(AK43="","",MATCH(AK43,$AW$2:$AW$6,0))</f>
        <v/>
      </c>
      <c r="BY43" s="17">
        <f>IF(AL43="","",MATCH(AL43,$AW$2:$AW$6,0))</f>
        <v/>
      </c>
      <c r="BZ43" s="17">
        <f>IF(AM43="","",MATCH(AM43,$AW$2:$AW$6,0))</f>
        <v/>
      </c>
      <c r="CA43" s="17">
        <f>IF(AN43="","",MATCH(AN43,$AW$2:$AW$6,0))</f>
        <v/>
      </c>
      <c r="CB43" s="17">
        <f>IF(AO43="","",MATCH(AO43,$AW$2:$AW$6,0))</f>
        <v/>
      </c>
      <c r="CC43" s="17">
        <f>IF(AP43="","",MATCH(AP43,$AW$2:$AW$6,0))</f>
        <v/>
      </c>
      <c r="CD43" s="17">
        <f>IF(AQ43="","",MATCH(AQ43,$AW$2:$AW$6,0))</f>
        <v/>
      </c>
      <c r="CE43" s="34" t="n"/>
      <c r="CF43" s="34" t="n"/>
      <c r="CG43" s="34" t="n"/>
      <c r="CH43" s="34" t="n"/>
      <c r="CI43" s="16">
        <f>IF(AR43="","",AR43)</f>
        <v/>
      </c>
      <c r="CJ43" s="16">
        <f>IF(AS43="","",AS43)</f>
        <v/>
      </c>
      <c r="CK43" s="16">
        <f>IF(AT43="","",AT43)</f>
        <v/>
      </c>
      <c r="CL43" s="16">
        <f>IF(AU43="","",AU43)</f>
        <v/>
      </c>
      <c r="CM43" s="35">
        <f>IF(AY43="","",IF(COUNTIF($AY$5:$AY$64,AY43)&gt;1,"중복! 마지막 것만 남기세요",""))</f>
        <v/>
      </c>
    </row>
    <row r="44">
      <c r="AY44" s="16">
        <f>IF(AND(B44="",C44=""),"",TRIM(B44)&amp;" "&amp;TRIM(C44))</f>
        <v/>
      </c>
      <c r="AZ44" s="17">
        <f>IF(AND(B44="",C44=""),"",SUMPRODUCT(--(D44:M44=$D$3:$M$3)))</f>
        <v/>
      </c>
      <c r="BA44" s="17">
        <f>IF(N44="","",MATCH(N44,$AW$2:$AW$6,0))</f>
        <v/>
      </c>
      <c r="BB44" s="17">
        <f>IF(O44="","",MATCH(O44,$AW$2:$AW$6,0))</f>
        <v/>
      </c>
      <c r="BC44" s="17">
        <f>IF(P44="","",MATCH(P44,$AW$2:$AW$6,0))</f>
        <v/>
      </c>
      <c r="BD44" s="17">
        <f>IF(Q44="","",MATCH(Q44,$AW$2:$AW$6,0))</f>
        <v/>
      </c>
      <c r="BE44" s="17">
        <f>IF(R44="","",MATCH(R44,$AW$2:$AW$6,0))</f>
        <v/>
      </c>
      <c r="BF44" s="17">
        <f>IF(S44="","",MATCH(S44,$AW$2:$AW$6,0))</f>
        <v/>
      </c>
      <c r="BG44" s="17">
        <f>IF(T44="","",MATCH(T44,$AW$2:$AW$6,0))</f>
        <v/>
      </c>
      <c r="BH44" s="17">
        <f>IF(U44="","",MATCH(U44,$AW$2:$AW$6,0))</f>
        <v/>
      </c>
      <c r="BI44" s="17">
        <f>IF(V44="","",MATCH(V44,$AW$2:$AW$6,0))</f>
        <v/>
      </c>
      <c r="BJ44" s="17">
        <f>IF(W44="","",MATCH(W44,$AW$2:$AW$6,0))</f>
        <v/>
      </c>
      <c r="BK44" s="17">
        <f>IF(X44="","",MATCH(X44,$AW$2:$AW$6,0))</f>
        <v/>
      </c>
      <c r="BL44" s="17">
        <f>IF(Y44="","",MATCH(Y44,$AW$2:$AW$6,0))</f>
        <v/>
      </c>
      <c r="BM44" s="17">
        <f>IF(Z44="","",MATCH(Z44,$AW$2:$AW$6,0))</f>
        <v/>
      </c>
      <c r="BN44" s="17">
        <f>IF(AA44="","",MATCH(AA44,$AW$2:$AW$6,0))</f>
        <v/>
      </c>
      <c r="BO44" s="17">
        <f>IF(AB44="","",MATCH(AB44,$AW$2:$AW$6,0))</f>
        <v/>
      </c>
      <c r="BP44" s="17">
        <f>IF(AC44="","",MATCH(AC44,$AW$2:$AW$6,0))</f>
        <v/>
      </c>
      <c r="BQ44" s="17">
        <f>IF(AD44="","",MATCH(AD44,$AW$2:$AW$6,0))</f>
        <v/>
      </c>
      <c r="BR44" s="17">
        <f>IF(AE44="","",MATCH(AE44,$AW$2:$AW$6,0))</f>
        <v/>
      </c>
      <c r="BS44" s="17">
        <f>IF(AF44="","",MATCH(AF44,$AW$2:$AW$6,0))</f>
        <v/>
      </c>
      <c r="BT44" s="17">
        <f>IF(AG44="","",MATCH(AG44,$AW$2:$AW$6,0))</f>
        <v/>
      </c>
      <c r="BU44" s="17">
        <f>IF(AH44="","",MATCH(AH44,$AW$2:$AW$6,0))</f>
        <v/>
      </c>
      <c r="BV44" s="17">
        <f>IF(AI44="","",MATCH(AI44,$AW$2:$AW$6,0))</f>
        <v/>
      </c>
      <c r="BW44" s="17">
        <f>IF(AJ44="","",MATCH(AJ44,$AW$2:$AW$6,0))</f>
        <v/>
      </c>
      <c r="BX44" s="17">
        <f>IF(AK44="","",MATCH(AK44,$AW$2:$AW$6,0))</f>
        <v/>
      </c>
      <c r="BY44" s="17">
        <f>IF(AL44="","",MATCH(AL44,$AW$2:$AW$6,0))</f>
        <v/>
      </c>
      <c r="BZ44" s="17">
        <f>IF(AM44="","",MATCH(AM44,$AW$2:$AW$6,0))</f>
        <v/>
      </c>
      <c r="CA44" s="17">
        <f>IF(AN44="","",MATCH(AN44,$AW$2:$AW$6,0))</f>
        <v/>
      </c>
      <c r="CB44" s="17">
        <f>IF(AO44="","",MATCH(AO44,$AW$2:$AW$6,0))</f>
        <v/>
      </c>
      <c r="CC44" s="17">
        <f>IF(AP44="","",MATCH(AP44,$AW$2:$AW$6,0))</f>
        <v/>
      </c>
      <c r="CD44" s="17">
        <f>IF(AQ44="","",MATCH(AQ44,$AW$2:$AW$6,0))</f>
        <v/>
      </c>
      <c r="CE44" s="34" t="n"/>
      <c r="CF44" s="34" t="n"/>
      <c r="CG44" s="34" t="n"/>
      <c r="CH44" s="34" t="n"/>
      <c r="CI44" s="16">
        <f>IF(AR44="","",AR44)</f>
        <v/>
      </c>
      <c r="CJ44" s="16">
        <f>IF(AS44="","",AS44)</f>
        <v/>
      </c>
      <c r="CK44" s="16">
        <f>IF(AT44="","",AT44)</f>
        <v/>
      </c>
      <c r="CL44" s="16">
        <f>IF(AU44="","",AU44)</f>
        <v/>
      </c>
      <c r="CM44" s="35">
        <f>IF(AY44="","",IF(COUNTIF($AY$5:$AY$64,AY44)&gt;1,"중복! 마지막 것만 남기세요",""))</f>
        <v/>
      </c>
    </row>
    <row r="45">
      <c r="AY45" s="16">
        <f>IF(AND(B45="",C45=""),"",TRIM(B45)&amp;" "&amp;TRIM(C45))</f>
        <v/>
      </c>
      <c r="AZ45" s="17">
        <f>IF(AND(B45="",C45=""),"",SUMPRODUCT(--(D45:M45=$D$3:$M$3)))</f>
        <v/>
      </c>
      <c r="BA45" s="17">
        <f>IF(N45="","",MATCH(N45,$AW$2:$AW$6,0))</f>
        <v/>
      </c>
      <c r="BB45" s="17">
        <f>IF(O45="","",MATCH(O45,$AW$2:$AW$6,0))</f>
        <v/>
      </c>
      <c r="BC45" s="17">
        <f>IF(P45="","",MATCH(P45,$AW$2:$AW$6,0))</f>
        <v/>
      </c>
      <c r="BD45" s="17">
        <f>IF(Q45="","",MATCH(Q45,$AW$2:$AW$6,0))</f>
        <v/>
      </c>
      <c r="BE45" s="17">
        <f>IF(R45="","",MATCH(R45,$AW$2:$AW$6,0))</f>
        <v/>
      </c>
      <c r="BF45" s="17">
        <f>IF(S45="","",MATCH(S45,$AW$2:$AW$6,0))</f>
        <v/>
      </c>
      <c r="BG45" s="17">
        <f>IF(T45="","",MATCH(T45,$AW$2:$AW$6,0))</f>
        <v/>
      </c>
      <c r="BH45" s="17">
        <f>IF(U45="","",MATCH(U45,$AW$2:$AW$6,0))</f>
        <v/>
      </c>
      <c r="BI45" s="17">
        <f>IF(V45="","",MATCH(V45,$AW$2:$AW$6,0))</f>
        <v/>
      </c>
      <c r="BJ45" s="17">
        <f>IF(W45="","",MATCH(W45,$AW$2:$AW$6,0))</f>
        <v/>
      </c>
      <c r="BK45" s="17">
        <f>IF(X45="","",MATCH(X45,$AW$2:$AW$6,0))</f>
        <v/>
      </c>
      <c r="BL45" s="17">
        <f>IF(Y45="","",MATCH(Y45,$AW$2:$AW$6,0))</f>
        <v/>
      </c>
      <c r="BM45" s="17">
        <f>IF(Z45="","",MATCH(Z45,$AW$2:$AW$6,0))</f>
        <v/>
      </c>
      <c r="BN45" s="17">
        <f>IF(AA45="","",MATCH(AA45,$AW$2:$AW$6,0))</f>
        <v/>
      </c>
      <c r="BO45" s="17">
        <f>IF(AB45="","",MATCH(AB45,$AW$2:$AW$6,0))</f>
        <v/>
      </c>
      <c r="BP45" s="17">
        <f>IF(AC45="","",MATCH(AC45,$AW$2:$AW$6,0))</f>
        <v/>
      </c>
      <c r="BQ45" s="17">
        <f>IF(AD45="","",MATCH(AD45,$AW$2:$AW$6,0))</f>
        <v/>
      </c>
      <c r="BR45" s="17">
        <f>IF(AE45="","",MATCH(AE45,$AW$2:$AW$6,0))</f>
        <v/>
      </c>
      <c r="BS45" s="17">
        <f>IF(AF45="","",MATCH(AF45,$AW$2:$AW$6,0))</f>
        <v/>
      </c>
      <c r="BT45" s="17">
        <f>IF(AG45="","",MATCH(AG45,$AW$2:$AW$6,0))</f>
        <v/>
      </c>
      <c r="BU45" s="17">
        <f>IF(AH45="","",MATCH(AH45,$AW$2:$AW$6,0))</f>
        <v/>
      </c>
      <c r="BV45" s="17">
        <f>IF(AI45="","",MATCH(AI45,$AW$2:$AW$6,0))</f>
        <v/>
      </c>
      <c r="BW45" s="17">
        <f>IF(AJ45="","",MATCH(AJ45,$AW$2:$AW$6,0))</f>
        <v/>
      </c>
      <c r="BX45" s="17">
        <f>IF(AK45="","",MATCH(AK45,$AW$2:$AW$6,0))</f>
        <v/>
      </c>
      <c r="BY45" s="17">
        <f>IF(AL45="","",MATCH(AL45,$AW$2:$AW$6,0))</f>
        <v/>
      </c>
      <c r="BZ45" s="17">
        <f>IF(AM45="","",MATCH(AM45,$AW$2:$AW$6,0))</f>
        <v/>
      </c>
      <c r="CA45" s="17">
        <f>IF(AN45="","",MATCH(AN45,$AW$2:$AW$6,0))</f>
        <v/>
      </c>
      <c r="CB45" s="17">
        <f>IF(AO45="","",MATCH(AO45,$AW$2:$AW$6,0))</f>
        <v/>
      </c>
      <c r="CC45" s="17">
        <f>IF(AP45="","",MATCH(AP45,$AW$2:$AW$6,0))</f>
        <v/>
      </c>
      <c r="CD45" s="17">
        <f>IF(AQ45="","",MATCH(AQ45,$AW$2:$AW$6,0))</f>
        <v/>
      </c>
      <c r="CE45" s="34" t="n"/>
      <c r="CF45" s="34" t="n"/>
      <c r="CG45" s="34" t="n"/>
      <c r="CH45" s="34" t="n"/>
      <c r="CI45" s="16">
        <f>IF(AR45="","",AR45)</f>
        <v/>
      </c>
      <c r="CJ45" s="16">
        <f>IF(AS45="","",AS45)</f>
        <v/>
      </c>
      <c r="CK45" s="16">
        <f>IF(AT45="","",AT45)</f>
        <v/>
      </c>
      <c r="CL45" s="16">
        <f>IF(AU45="","",AU45)</f>
        <v/>
      </c>
      <c r="CM45" s="35">
        <f>IF(AY45="","",IF(COUNTIF($AY$5:$AY$64,AY45)&gt;1,"중복! 마지막 것만 남기세요",""))</f>
        <v/>
      </c>
    </row>
    <row r="46">
      <c r="AY46" s="16">
        <f>IF(AND(B46="",C46=""),"",TRIM(B46)&amp;" "&amp;TRIM(C46))</f>
        <v/>
      </c>
      <c r="AZ46" s="17">
        <f>IF(AND(B46="",C46=""),"",SUMPRODUCT(--(D46:M46=$D$3:$M$3)))</f>
        <v/>
      </c>
      <c r="BA46" s="17">
        <f>IF(N46="","",MATCH(N46,$AW$2:$AW$6,0))</f>
        <v/>
      </c>
      <c r="BB46" s="17">
        <f>IF(O46="","",MATCH(O46,$AW$2:$AW$6,0))</f>
        <v/>
      </c>
      <c r="BC46" s="17">
        <f>IF(P46="","",MATCH(P46,$AW$2:$AW$6,0))</f>
        <v/>
      </c>
      <c r="BD46" s="17">
        <f>IF(Q46="","",MATCH(Q46,$AW$2:$AW$6,0))</f>
        <v/>
      </c>
      <c r="BE46" s="17">
        <f>IF(R46="","",MATCH(R46,$AW$2:$AW$6,0))</f>
        <v/>
      </c>
      <c r="BF46" s="17">
        <f>IF(S46="","",MATCH(S46,$AW$2:$AW$6,0))</f>
        <v/>
      </c>
      <c r="BG46" s="17">
        <f>IF(T46="","",MATCH(T46,$AW$2:$AW$6,0))</f>
        <v/>
      </c>
      <c r="BH46" s="17">
        <f>IF(U46="","",MATCH(U46,$AW$2:$AW$6,0))</f>
        <v/>
      </c>
      <c r="BI46" s="17">
        <f>IF(V46="","",MATCH(V46,$AW$2:$AW$6,0))</f>
        <v/>
      </c>
      <c r="BJ46" s="17">
        <f>IF(W46="","",MATCH(W46,$AW$2:$AW$6,0))</f>
        <v/>
      </c>
      <c r="BK46" s="17">
        <f>IF(X46="","",MATCH(X46,$AW$2:$AW$6,0))</f>
        <v/>
      </c>
      <c r="BL46" s="17">
        <f>IF(Y46="","",MATCH(Y46,$AW$2:$AW$6,0))</f>
        <v/>
      </c>
      <c r="BM46" s="17">
        <f>IF(Z46="","",MATCH(Z46,$AW$2:$AW$6,0))</f>
        <v/>
      </c>
      <c r="BN46" s="17">
        <f>IF(AA46="","",MATCH(AA46,$AW$2:$AW$6,0))</f>
        <v/>
      </c>
      <c r="BO46" s="17">
        <f>IF(AB46="","",MATCH(AB46,$AW$2:$AW$6,0))</f>
        <v/>
      </c>
      <c r="BP46" s="17">
        <f>IF(AC46="","",MATCH(AC46,$AW$2:$AW$6,0))</f>
        <v/>
      </c>
      <c r="BQ46" s="17">
        <f>IF(AD46="","",MATCH(AD46,$AW$2:$AW$6,0))</f>
        <v/>
      </c>
      <c r="BR46" s="17">
        <f>IF(AE46="","",MATCH(AE46,$AW$2:$AW$6,0))</f>
        <v/>
      </c>
      <c r="BS46" s="17">
        <f>IF(AF46="","",MATCH(AF46,$AW$2:$AW$6,0))</f>
        <v/>
      </c>
      <c r="BT46" s="17">
        <f>IF(AG46="","",MATCH(AG46,$AW$2:$AW$6,0))</f>
        <v/>
      </c>
      <c r="BU46" s="17">
        <f>IF(AH46="","",MATCH(AH46,$AW$2:$AW$6,0))</f>
        <v/>
      </c>
      <c r="BV46" s="17">
        <f>IF(AI46="","",MATCH(AI46,$AW$2:$AW$6,0))</f>
        <v/>
      </c>
      <c r="BW46" s="17">
        <f>IF(AJ46="","",MATCH(AJ46,$AW$2:$AW$6,0))</f>
        <v/>
      </c>
      <c r="BX46" s="17">
        <f>IF(AK46="","",MATCH(AK46,$AW$2:$AW$6,0))</f>
        <v/>
      </c>
      <c r="BY46" s="17">
        <f>IF(AL46="","",MATCH(AL46,$AW$2:$AW$6,0))</f>
        <v/>
      </c>
      <c r="BZ46" s="17">
        <f>IF(AM46="","",MATCH(AM46,$AW$2:$AW$6,0))</f>
        <v/>
      </c>
      <c r="CA46" s="17">
        <f>IF(AN46="","",MATCH(AN46,$AW$2:$AW$6,0))</f>
        <v/>
      </c>
      <c r="CB46" s="17">
        <f>IF(AO46="","",MATCH(AO46,$AW$2:$AW$6,0))</f>
        <v/>
      </c>
      <c r="CC46" s="17">
        <f>IF(AP46="","",MATCH(AP46,$AW$2:$AW$6,0))</f>
        <v/>
      </c>
      <c r="CD46" s="17">
        <f>IF(AQ46="","",MATCH(AQ46,$AW$2:$AW$6,0))</f>
        <v/>
      </c>
      <c r="CE46" s="34" t="n"/>
      <c r="CF46" s="34" t="n"/>
      <c r="CG46" s="34" t="n"/>
      <c r="CH46" s="34" t="n"/>
      <c r="CI46" s="16">
        <f>IF(AR46="","",AR46)</f>
        <v/>
      </c>
      <c r="CJ46" s="16">
        <f>IF(AS46="","",AS46)</f>
        <v/>
      </c>
      <c r="CK46" s="16">
        <f>IF(AT46="","",AT46)</f>
        <v/>
      </c>
      <c r="CL46" s="16">
        <f>IF(AU46="","",AU46)</f>
        <v/>
      </c>
      <c r="CM46" s="35">
        <f>IF(AY46="","",IF(COUNTIF($AY$5:$AY$64,AY46)&gt;1,"중복! 마지막 것만 남기세요",""))</f>
        <v/>
      </c>
    </row>
    <row r="47">
      <c r="AY47" s="16">
        <f>IF(AND(B47="",C47=""),"",TRIM(B47)&amp;" "&amp;TRIM(C47))</f>
        <v/>
      </c>
      <c r="AZ47" s="17">
        <f>IF(AND(B47="",C47=""),"",SUMPRODUCT(--(D47:M47=$D$3:$M$3)))</f>
        <v/>
      </c>
      <c r="BA47" s="17">
        <f>IF(N47="","",MATCH(N47,$AW$2:$AW$6,0))</f>
        <v/>
      </c>
      <c r="BB47" s="17">
        <f>IF(O47="","",MATCH(O47,$AW$2:$AW$6,0))</f>
        <v/>
      </c>
      <c r="BC47" s="17">
        <f>IF(P47="","",MATCH(P47,$AW$2:$AW$6,0))</f>
        <v/>
      </c>
      <c r="BD47" s="17">
        <f>IF(Q47="","",MATCH(Q47,$AW$2:$AW$6,0))</f>
        <v/>
      </c>
      <c r="BE47" s="17">
        <f>IF(R47="","",MATCH(R47,$AW$2:$AW$6,0))</f>
        <v/>
      </c>
      <c r="BF47" s="17">
        <f>IF(S47="","",MATCH(S47,$AW$2:$AW$6,0))</f>
        <v/>
      </c>
      <c r="BG47" s="17">
        <f>IF(T47="","",MATCH(T47,$AW$2:$AW$6,0))</f>
        <v/>
      </c>
      <c r="BH47" s="17">
        <f>IF(U47="","",MATCH(U47,$AW$2:$AW$6,0))</f>
        <v/>
      </c>
      <c r="BI47" s="17">
        <f>IF(V47="","",MATCH(V47,$AW$2:$AW$6,0))</f>
        <v/>
      </c>
      <c r="BJ47" s="17">
        <f>IF(W47="","",MATCH(W47,$AW$2:$AW$6,0))</f>
        <v/>
      </c>
      <c r="BK47" s="17">
        <f>IF(X47="","",MATCH(X47,$AW$2:$AW$6,0))</f>
        <v/>
      </c>
      <c r="BL47" s="17">
        <f>IF(Y47="","",MATCH(Y47,$AW$2:$AW$6,0))</f>
        <v/>
      </c>
      <c r="BM47" s="17">
        <f>IF(Z47="","",MATCH(Z47,$AW$2:$AW$6,0))</f>
        <v/>
      </c>
      <c r="BN47" s="17">
        <f>IF(AA47="","",MATCH(AA47,$AW$2:$AW$6,0))</f>
        <v/>
      </c>
      <c r="BO47" s="17">
        <f>IF(AB47="","",MATCH(AB47,$AW$2:$AW$6,0))</f>
        <v/>
      </c>
      <c r="BP47" s="17">
        <f>IF(AC47="","",MATCH(AC47,$AW$2:$AW$6,0))</f>
        <v/>
      </c>
      <c r="BQ47" s="17">
        <f>IF(AD47="","",MATCH(AD47,$AW$2:$AW$6,0))</f>
        <v/>
      </c>
      <c r="BR47" s="17">
        <f>IF(AE47="","",MATCH(AE47,$AW$2:$AW$6,0))</f>
        <v/>
      </c>
      <c r="BS47" s="17">
        <f>IF(AF47="","",MATCH(AF47,$AW$2:$AW$6,0))</f>
        <v/>
      </c>
      <c r="BT47" s="17">
        <f>IF(AG47="","",MATCH(AG47,$AW$2:$AW$6,0))</f>
        <v/>
      </c>
      <c r="BU47" s="17">
        <f>IF(AH47="","",MATCH(AH47,$AW$2:$AW$6,0))</f>
        <v/>
      </c>
      <c r="BV47" s="17">
        <f>IF(AI47="","",MATCH(AI47,$AW$2:$AW$6,0))</f>
        <v/>
      </c>
      <c r="BW47" s="17">
        <f>IF(AJ47="","",MATCH(AJ47,$AW$2:$AW$6,0))</f>
        <v/>
      </c>
      <c r="BX47" s="17">
        <f>IF(AK47="","",MATCH(AK47,$AW$2:$AW$6,0))</f>
        <v/>
      </c>
      <c r="BY47" s="17">
        <f>IF(AL47="","",MATCH(AL47,$AW$2:$AW$6,0))</f>
        <v/>
      </c>
      <c r="BZ47" s="17">
        <f>IF(AM47="","",MATCH(AM47,$AW$2:$AW$6,0))</f>
        <v/>
      </c>
      <c r="CA47" s="17">
        <f>IF(AN47="","",MATCH(AN47,$AW$2:$AW$6,0))</f>
        <v/>
      </c>
      <c r="CB47" s="17">
        <f>IF(AO47="","",MATCH(AO47,$AW$2:$AW$6,0))</f>
        <v/>
      </c>
      <c r="CC47" s="17">
        <f>IF(AP47="","",MATCH(AP47,$AW$2:$AW$6,0))</f>
        <v/>
      </c>
      <c r="CD47" s="17">
        <f>IF(AQ47="","",MATCH(AQ47,$AW$2:$AW$6,0))</f>
        <v/>
      </c>
      <c r="CE47" s="34" t="n"/>
      <c r="CF47" s="34" t="n"/>
      <c r="CG47" s="34" t="n"/>
      <c r="CH47" s="34" t="n"/>
      <c r="CI47" s="16">
        <f>IF(AR47="","",AR47)</f>
        <v/>
      </c>
      <c r="CJ47" s="16">
        <f>IF(AS47="","",AS47)</f>
        <v/>
      </c>
      <c r="CK47" s="16">
        <f>IF(AT47="","",AT47)</f>
        <v/>
      </c>
      <c r="CL47" s="16">
        <f>IF(AU47="","",AU47)</f>
        <v/>
      </c>
      <c r="CM47" s="35">
        <f>IF(AY47="","",IF(COUNTIF($AY$5:$AY$64,AY47)&gt;1,"중복! 마지막 것만 남기세요",""))</f>
        <v/>
      </c>
    </row>
    <row r="48">
      <c r="AY48" s="16">
        <f>IF(AND(B48="",C48=""),"",TRIM(B48)&amp;" "&amp;TRIM(C48))</f>
        <v/>
      </c>
      <c r="AZ48" s="17">
        <f>IF(AND(B48="",C48=""),"",SUMPRODUCT(--(D48:M48=$D$3:$M$3)))</f>
        <v/>
      </c>
      <c r="BA48" s="17">
        <f>IF(N48="","",MATCH(N48,$AW$2:$AW$6,0))</f>
        <v/>
      </c>
      <c r="BB48" s="17">
        <f>IF(O48="","",MATCH(O48,$AW$2:$AW$6,0))</f>
        <v/>
      </c>
      <c r="BC48" s="17">
        <f>IF(P48="","",MATCH(P48,$AW$2:$AW$6,0))</f>
        <v/>
      </c>
      <c r="BD48" s="17">
        <f>IF(Q48="","",MATCH(Q48,$AW$2:$AW$6,0))</f>
        <v/>
      </c>
      <c r="BE48" s="17">
        <f>IF(R48="","",MATCH(R48,$AW$2:$AW$6,0))</f>
        <v/>
      </c>
      <c r="BF48" s="17">
        <f>IF(S48="","",MATCH(S48,$AW$2:$AW$6,0))</f>
        <v/>
      </c>
      <c r="BG48" s="17">
        <f>IF(T48="","",MATCH(T48,$AW$2:$AW$6,0))</f>
        <v/>
      </c>
      <c r="BH48" s="17">
        <f>IF(U48="","",MATCH(U48,$AW$2:$AW$6,0))</f>
        <v/>
      </c>
      <c r="BI48" s="17">
        <f>IF(V48="","",MATCH(V48,$AW$2:$AW$6,0))</f>
        <v/>
      </c>
      <c r="BJ48" s="17">
        <f>IF(W48="","",MATCH(W48,$AW$2:$AW$6,0))</f>
        <v/>
      </c>
      <c r="BK48" s="17">
        <f>IF(X48="","",MATCH(X48,$AW$2:$AW$6,0))</f>
        <v/>
      </c>
      <c r="BL48" s="17">
        <f>IF(Y48="","",MATCH(Y48,$AW$2:$AW$6,0))</f>
        <v/>
      </c>
      <c r="BM48" s="17">
        <f>IF(Z48="","",MATCH(Z48,$AW$2:$AW$6,0))</f>
        <v/>
      </c>
      <c r="BN48" s="17">
        <f>IF(AA48="","",MATCH(AA48,$AW$2:$AW$6,0))</f>
        <v/>
      </c>
      <c r="BO48" s="17">
        <f>IF(AB48="","",MATCH(AB48,$AW$2:$AW$6,0))</f>
        <v/>
      </c>
      <c r="BP48" s="17">
        <f>IF(AC48="","",MATCH(AC48,$AW$2:$AW$6,0))</f>
        <v/>
      </c>
      <c r="BQ48" s="17">
        <f>IF(AD48="","",MATCH(AD48,$AW$2:$AW$6,0))</f>
        <v/>
      </c>
      <c r="BR48" s="17">
        <f>IF(AE48="","",MATCH(AE48,$AW$2:$AW$6,0))</f>
        <v/>
      </c>
      <c r="BS48" s="17">
        <f>IF(AF48="","",MATCH(AF48,$AW$2:$AW$6,0))</f>
        <v/>
      </c>
      <c r="BT48" s="17">
        <f>IF(AG48="","",MATCH(AG48,$AW$2:$AW$6,0))</f>
        <v/>
      </c>
      <c r="BU48" s="17">
        <f>IF(AH48="","",MATCH(AH48,$AW$2:$AW$6,0))</f>
        <v/>
      </c>
      <c r="BV48" s="17">
        <f>IF(AI48="","",MATCH(AI48,$AW$2:$AW$6,0))</f>
        <v/>
      </c>
      <c r="BW48" s="17">
        <f>IF(AJ48="","",MATCH(AJ48,$AW$2:$AW$6,0))</f>
        <v/>
      </c>
      <c r="BX48" s="17">
        <f>IF(AK48="","",MATCH(AK48,$AW$2:$AW$6,0))</f>
        <v/>
      </c>
      <c r="BY48" s="17">
        <f>IF(AL48="","",MATCH(AL48,$AW$2:$AW$6,0))</f>
        <v/>
      </c>
      <c r="BZ48" s="17">
        <f>IF(AM48="","",MATCH(AM48,$AW$2:$AW$6,0))</f>
        <v/>
      </c>
      <c r="CA48" s="17">
        <f>IF(AN48="","",MATCH(AN48,$AW$2:$AW$6,0))</f>
        <v/>
      </c>
      <c r="CB48" s="17">
        <f>IF(AO48="","",MATCH(AO48,$AW$2:$AW$6,0))</f>
        <v/>
      </c>
      <c r="CC48" s="17">
        <f>IF(AP48="","",MATCH(AP48,$AW$2:$AW$6,0))</f>
        <v/>
      </c>
      <c r="CD48" s="17">
        <f>IF(AQ48="","",MATCH(AQ48,$AW$2:$AW$6,0))</f>
        <v/>
      </c>
      <c r="CE48" s="34" t="n"/>
      <c r="CF48" s="34" t="n"/>
      <c r="CG48" s="34" t="n"/>
      <c r="CH48" s="34" t="n"/>
      <c r="CI48" s="16">
        <f>IF(AR48="","",AR48)</f>
        <v/>
      </c>
      <c r="CJ48" s="16">
        <f>IF(AS48="","",AS48)</f>
        <v/>
      </c>
      <c r="CK48" s="16">
        <f>IF(AT48="","",AT48)</f>
        <v/>
      </c>
      <c r="CL48" s="16">
        <f>IF(AU48="","",AU48)</f>
        <v/>
      </c>
      <c r="CM48" s="35">
        <f>IF(AY48="","",IF(COUNTIF($AY$5:$AY$64,AY48)&gt;1,"중복! 마지막 것만 남기세요",""))</f>
        <v/>
      </c>
    </row>
    <row r="49">
      <c r="AY49" s="16">
        <f>IF(AND(B49="",C49=""),"",TRIM(B49)&amp;" "&amp;TRIM(C49))</f>
        <v/>
      </c>
      <c r="AZ49" s="17">
        <f>IF(AND(B49="",C49=""),"",SUMPRODUCT(--(D49:M49=$D$3:$M$3)))</f>
        <v/>
      </c>
      <c r="BA49" s="17">
        <f>IF(N49="","",MATCH(N49,$AW$2:$AW$6,0))</f>
        <v/>
      </c>
      <c r="BB49" s="17">
        <f>IF(O49="","",MATCH(O49,$AW$2:$AW$6,0))</f>
        <v/>
      </c>
      <c r="BC49" s="17">
        <f>IF(P49="","",MATCH(P49,$AW$2:$AW$6,0))</f>
        <v/>
      </c>
      <c r="BD49" s="17">
        <f>IF(Q49="","",MATCH(Q49,$AW$2:$AW$6,0))</f>
        <v/>
      </c>
      <c r="BE49" s="17">
        <f>IF(R49="","",MATCH(R49,$AW$2:$AW$6,0))</f>
        <v/>
      </c>
      <c r="BF49" s="17">
        <f>IF(S49="","",MATCH(S49,$AW$2:$AW$6,0))</f>
        <v/>
      </c>
      <c r="BG49" s="17">
        <f>IF(T49="","",MATCH(T49,$AW$2:$AW$6,0))</f>
        <v/>
      </c>
      <c r="BH49" s="17">
        <f>IF(U49="","",MATCH(U49,$AW$2:$AW$6,0))</f>
        <v/>
      </c>
      <c r="BI49" s="17">
        <f>IF(V49="","",MATCH(V49,$AW$2:$AW$6,0))</f>
        <v/>
      </c>
      <c r="BJ49" s="17">
        <f>IF(W49="","",MATCH(W49,$AW$2:$AW$6,0))</f>
        <v/>
      </c>
      <c r="BK49" s="17">
        <f>IF(X49="","",MATCH(X49,$AW$2:$AW$6,0))</f>
        <v/>
      </c>
      <c r="BL49" s="17">
        <f>IF(Y49="","",MATCH(Y49,$AW$2:$AW$6,0))</f>
        <v/>
      </c>
      <c r="BM49" s="17">
        <f>IF(Z49="","",MATCH(Z49,$AW$2:$AW$6,0))</f>
        <v/>
      </c>
      <c r="BN49" s="17">
        <f>IF(AA49="","",MATCH(AA49,$AW$2:$AW$6,0))</f>
        <v/>
      </c>
      <c r="BO49" s="17">
        <f>IF(AB49="","",MATCH(AB49,$AW$2:$AW$6,0))</f>
        <v/>
      </c>
      <c r="BP49" s="17">
        <f>IF(AC49="","",MATCH(AC49,$AW$2:$AW$6,0))</f>
        <v/>
      </c>
      <c r="BQ49" s="17">
        <f>IF(AD49="","",MATCH(AD49,$AW$2:$AW$6,0))</f>
        <v/>
      </c>
      <c r="BR49" s="17">
        <f>IF(AE49="","",MATCH(AE49,$AW$2:$AW$6,0))</f>
        <v/>
      </c>
      <c r="BS49" s="17">
        <f>IF(AF49="","",MATCH(AF49,$AW$2:$AW$6,0))</f>
        <v/>
      </c>
      <c r="BT49" s="17">
        <f>IF(AG49="","",MATCH(AG49,$AW$2:$AW$6,0))</f>
        <v/>
      </c>
      <c r="BU49" s="17">
        <f>IF(AH49="","",MATCH(AH49,$AW$2:$AW$6,0))</f>
        <v/>
      </c>
      <c r="BV49" s="17">
        <f>IF(AI49="","",MATCH(AI49,$AW$2:$AW$6,0))</f>
        <v/>
      </c>
      <c r="BW49" s="17">
        <f>IF(AJ49="","",MATCH(AJ49,$AW$2:$AW$6,0))</f>
        <v/>
      </c>
      <c r="BX49" s="17">
        <f>IF(AK49="","",MATCH(AK49,$AW$2:$AW$6,0))</f>
        <v/>
      </c>
      <c r="BY49" s="17">
        <f>IF(AL49="","",MATCH(AL49,$AW$2:$AW$6,0))</f>
        <v/>
      </c>
      <c r="BZ49" s="17">
        <f>IF(AM49="","",MATCH(AM49,$AW$2:$AW$6,0))</f>
        <v/>
      </c>
      <c r="CA49" s="17">
        <f>IF(AN49="","",MATCH(AN49,$AW$2:$AW$6,0))</f>
        <v/>
      </c>
      <c r="CB49" s="17">
        <f>IF(AO49="","",MATCH(AO49,$AW$2:$AW$6,0))</f>
        <v/>
      </c>
      <c r="CC49" s="17">
        <f>IF(AP49="","",MATCH(AP49,$AW$2:$AW$6,0))</f>
        <v/>
      </c>
      <c r="CD49" s="17">
        <f>IF(AQ49="","",MATCH(AQ49,$AW$2:$AW$6,0))</f>
        <v/>
      </c>
      <c r="CE49" s="34" t="n"/>
      <c r="CF49" s="34" t="n"/>
      <c r="CG49" s="34" t="n"/>
      <c r="CH49" s="34" t="n"/>
      <c r="CI49" s="16">
        <f>IF(AR49="","",AR49)</f>
        <v/>
      </c>
      <c r="CJ49" s="16">
        <f>IF(AS49="","",AS49)</f>
        <v/>
      </c>
      <c r="CK49" s="16">
        <f>IF(AT49="","",AT49)</f>
        <v/>
      </c>
      <c r="CL49" s="16">
        <f>IF(AU49="","",AU49)</f>
        <v/>
      </c>
      <c r="CM49" s="35">
        <f>IF(AY49="","",IF(COUNTIF($AY$5:$AY$64,AY49)&gt;1,"중복! 마지막 것만 남기세요",""))</f>
        <v/>
      </c>
    </row>
    <row r="50">
      <c r="AY50" s="16">
        <f>IF(AND(B50="",C50=""),"",TRIM(B50)&amp;" "&amp;TRIM(C50))</f>
        <v/>
      </c>
      <c r="AZ50" s="17">
        <f>IF(AND(B50="",C50=""),"",SUMPRODUCT(--(D50:M50=$D$3:$M$3)))</f>
        <v/>
      </c>
      <c r="BA50" s="17">
        <f>IF(N50="","",MATCH(N50,$AW$2:$AW$6,0))</f>
        <v/>
      </c>
      <c r="BB50" s="17">
        <f>IF(O50="","",MATCH(O50,$AW$2:$AW$6,0))</f>
        <v/>
      </c>
      <c r="BC50" s="17">
        <f>IF(P50="","",MATCH(P50,$AW$2:$AW$6,0))</f>
        <v/>
      </c>
      <c r="BD50" s="17">
        <f>IF(Q50="","",MATCH(Q50,$AW$2:$AW$6,0))</f>
        <v/>
      </c>
      <c r="BE50" s="17">
        <f>IF(R50="","",MATCH(R50,$AW$2:$AW$6,0))</f>
        <v/>
      </c>
      <c r="BF50" s="17">
        <f>IF(S50="","",MATCH(S50,$AW$2:$AW$6,0))</f>
        <v/>
      </c>
      <c r="BG50" s="17">
        <f>IF(T50="","",MATCH(T50,$AW$2:$AW$6,0))</f>
        <v/>
      </c>
      <c r="BH50" s="17">
        <f>IF(U50="","",MATCH(U50,$AW$2:$AW$6,0))</f>
        <v/>
      </c>
      <c r="BI50" s="17">
        <f>IF(V50="","",MATCH(V50,$AW$2:$AW$6,0))</f>
        <v/>
      </c>
      <c r="BJ50" s="17">
        <f>IF(W50="","",MATCH(W50,$AW$2:$AW$6,0))</f>
        <v/>
      </c>
      <c r="BK50" s="17">
        <f>IF(X50="","",MATCH(X50,$AW$2:$AW$6,0))</f>
        <v/>
      </c>
      <c r="BL50" s="17">
        <f>IF(Y50="","",MATCH(Y50,$AW$2:$AW$6,0))</f>
        <v/>
      </c>
      <c r="BM50" s="17">
        <f>IF(Z50="","",MATCH(Z50,$AW$2:$AW$6,0))</f>
        <v/>
      </c>
      <c r="BN50" s="17">
        <f>IF(AA50="","",MATCH(AA50,$AW$2:$AW$6,0))</f>
        <v/>
      </c>
      <c r="BO50" s="17">
        <f>IF(AB50="","",MATCH(AB50,$AW$2:$AW$6,0))</f>
        <v/>
      </c>
      <c r="BP50" s="17">
        <f>IF(AC50="","",MATCH(AC50,$AW$2:$AW$6,0))</f>
        <v/>
      </c>
      <c r="BQ50" s="17">
        <f>IF(AD50="","",MATCH(AD50,$AW$2:$AW$6,0))</f>
        <v/>
      </c>
      <c r="BR50" s="17">
        <f>IF(AE50="","",MATCH(AE50,$AW$2:$AW$6,0))</f>
        <v/>
      </c>
      <c r="BS50" s="17">
        <f>IF(AF50="","",MATCH(AF50,$AW$2:$AW$6,0))</f>
        <v/>
      </c>
      <c r="BT50" s="17">
        <f>IF(AG50="","",MATCH(AG50,$AW$2:$AW$6,0))</f>
        <v/>
      </c>
      <c r="BU50" s="17">
        <f>IF(AH50="","",MATCH(AH50,$AW$2:$AW$6,0))</f>
        <v/>
      </c>
      <c r="BV50" s="17">
        <f>IF(AI50="","",MATCH(AI50,$AW$2:$AW$6,0))</f>
        <v/>
      </c>
      <c r="BW50" s="17">
        <f>IF(AJ50="","",MATCH(AJ50,$AW$2:$AW$6,0))</f>
        <v/>
      </c>
      <c r="BX50" s="17">
        <f>IF(AK50="","",MATCH(AK50,$AW$2:$AW$6,0))</f>
        <v/>
      </c>
      <c r="BY50" s="17">
        <f>IF(AL50="","",MATCH(AL50,$AW$2:$AW$6,0))</f>
        <v/>
      </c>
      <c r="BZ50" s="17">
        <f>IF(AM50="","",MATCH(AM50,$AW$2:$AW$6,0))</f>
        <v/>
      </c>
      <c r="CA50" s="17">
        <f>IF(AN50="","",MATCH(AN50,$AW$2:$AW$6,0))</f>
        <v/>
      </c>
      <c r="CB50" s="17">
        <f>IF(AO50="","",MATCH(AO50,$AW$2:$AW$6,0))</f>
        <v/>
      </c>
      <c r="CC50" s="17">
        <f>IF(AP50="","",MATCH(AP50,$AW$2:$AW$6,0))</f>
        <v/>
      </c>
      <c r="CD50" s="17">
        <f>IF(AQ50="","",MATCH(AQ50,$AW$2:$AW$6,0))</f>
        <v/>
      </c>
      <c r="CE50" s="34" t="n"/>
      <c r="CF50" s="34" t="n"/>
      <c r="CG50" s="34" t="n"/>
      <c r="CH50" s="34" t="n"/>
      <c r="CI50" s="16">
        <f>IF(AR50="","",AR50)</f>
        <v/>
      </c>
      <c r="CJ50" s="16">
        <f>IF(AS50="","",AS50)</f>
        <v/>
      </c>
      <c r="CK50" s="16">
        <f>IF(AT50="","",AT50)</f>
        <v/>
      </c>
      <c r="CL50" s="16">
        <f>IF(AU50="","",AU50)</f>
        <v/>
      </c>
      <c r="CM50" s="35">
        <f>IF(AY50="","",IF(COUNTIF($AY$5:$AY$64,AY50)&gt;1,"중복! 마지막 것만 남기세요",""))</f>
        <v/>
      </c>
    </row>
    <row r="51">
      <c r="AY51" s="16">
        <f>IF(AND(B51="",C51=""),"",TRIM(B51)&amp;" "&amp;TRIM(C51))</f>
        <v/>
      </c>
      <c r="AZ51" s="17">
        <f>IF(AND(B51="",C51=""),"",SUMPRODUCT(--(D51:M51=$D$3:$M$3)))</f>
        <v/>
      </c>
      <c r="BA51" s="17">
        <f>IF(N51="","",MATCH(N51,$AW$2:$AW$6,0))</f>
        <v/>
      </c>
      <c r="BB51" s="17">
        <f>IF(O51="","",MATCH(O51,$AW$2:$AW$6,0))</f>
        <v/>
      </c>
      <c r="BC51" s="17">
        <f>IF(P51="","",MATCH(P51,$AW$2:$AW$6,0))</f>
        <v/>
      </c>
      <c r="BD51" s="17">
        <f>IF(Q51="","",MATCH(Q51,$AW$2:$AW$6,0))</f>
        <v/>
      </c>
      <c r="BE51" s="17">
        <f>IF(R51="","",MATCH(R51,$AW$2:$AW$6,0))</f>
        <v/>
      </c>
      <c r="BF51" s="17">
        <f>IF(S51="","",MATCH(S51,$AW$2:$AW$6,0))</f>
        <v/>
      </c>
      <c r="BG51" s="17">
        <f>IF(T51="","",MATCH(T51,$AW$2:$AW$6,0))</f>
        <v/>
      </c>
      <c r="BH51" s="17">
        <f>IF(U51="","",MATCH(U51,$AW$2:$AW$6,0))</f>
        <v/>
      </c>
      <c r="BI51" s="17">
        <f>IF(V51="","",MATCH(V51,$AW$2:$AW$6,0))</f>
        <v/>
      </c>
      <c r="BJ51" s="17">
        <f>IF(W51="","",MATCH(W51,$AW$2:$AW$6,0))</f>
        <v/>
      </c>
      <c r="BK51" s="17">
        <f>IF(X51="","",MATCH(X51,$AW$2:$AW$6,0))</f>
        <v/>
      </c>
      <c r="BL51" s="17">
        <f>IF(Y51="","",MATCH(Y51,$AW$2:$AW$6,0))</f>
        <v/>
      </c>
      <c r="BM51" s="17">
        <f>IF(Z51="","",MATCH(Z51,$AW$2:$AW$6,0))</f>
        <v/>
      </c>
      <c r="BN51" s="17">
        <f>IF(AA51="","",MATCH(AA51,$AW$2:$AW$6,0))</f>
        <v/>
      </c>
      <c r="BO51" s="17">
        <f>IF(AB51="","",MATCH(AB51,$AW$2:$AW$6,0))</f>
        <v/>
      </c>
      <c r="BP51" s="17">
        <f>IF(AC51="","",MATCH(AC51,$AW$2:$AW$6,0))</f>
        <v/>
      </c>
      <c r="BQ51" s="17">
        <f>IF(AD51="","",MATCH(AD51,$AW$2:$AW$6,0))</f>
        <v/>
      </c>
      <c r="BR51" s="17">
        <f>IF(AE51="","",MATCH(AE51,$AW$2:$AW$6,0))</f>
        <v/>
      </c>
      <c r="BS51" s="17">
        <f>IF(AF51="","",MATCH(AF51,$AW$2:$AW$6,0))</f>
        <v/>
      </c>
      <c r="BT51" s="17">
        <f>IF(AG51="","",MATCH(AG51,$AW$2:$AW$6,0))</f>
        <v/>
      </c>
      <c r="BU51" s="17">
        <f>IF(AH51="","",MATCH(AH51,$AW$2:$AW$6,0))</f>
        <v/>
      </c>
      <c r="BV51" s="17">
        <f>IF(AI51="","",MATCH(AI51,$AW$2:$AW$6,0))</f>
        <v/>
      </c>
      <c r="BW51" s="17">
        <f>IF(AJ51="","",MATCH(AJ51,$AW$2:$AW$6,0))</f>
        <v/>
      </c>
      <c r="BX51" s="17">
        <f>IF(AK51="","",MATCH(AK51,$AW$2:$AW$6,0))</f>
        <v/>
      </c>
      <c r="BY51" s="17">
        <f>IF(AL51="","",MATCH(AL51,$AW$2:$AW$6,0))</f>
        <v/>
      </c>
      <c r="BZ51" s="17">
        <f>IF(AM51="","",MATCH(AM51,$AW$2:$AW$6,0))</f>
        <v/>
      </c>
      <c r="CA51" s="17">
        <f>IF(AN51="","",MATCH(AN51,$AW$2:$AW$6,0))</f>
        <v/>
      </c>
      <c r="CB51" s="17">
        <f>IF(AO51="","",MATCH(AO51,$AW$2:$AW$6,0))</f>
        <v/>
      </c>
      <c r="CC51" s="17">
        <f>IF(AP51="","",MATCH(AP51,$AW$2:$AW$6,0))</f>
        <v/>
      </c>
      <c r="CD51" s="17">
        <f>IF(AQ51="","",MATCH(AQ51,$AW$2:$AW$6,0))</f>
        <v/>
      </c>
      <c r="CE51" s="34" t="n"/>
      <c r="CF51" s="34" t="n"/>
      <c r="CG51" s="34" t="n"/>
      <c r="CH51" s="34" t="n"/>
      <c r="CI51" s="16">
        <f>IF(AR51="","",AR51)</f>
        <v/>
      </c>
      <c r="CJ51" s="16">
        <f>IF(AS51="","",AS51)</f>
        <v/>
      </c>
      <c r="CK51" s="16">
        <f>IF(AT51="","",AT51)</f>
        <v/>
      </c>
      <c r="CL51" s="16">
        <f>IF(AU51="","",AU51)</f>
        <v/>
      </c>
      <c r="CM51" s="35">
        <f>IF(AY51="","",IF(COUNTIF($AY$5:$AY$64,AY51)&gt;1,"중복! 마지막 것만 남기세요",""))</f>
        <v/>
      </c>
    </row>
    <row r="52">
      <c r="AY52" s="16">
        <f>IF(AND(B52="",C52=""),"",TRIM(B52)&amp;" "&amp;TRIM(C52))</f>
        <v/>
      </c>
      <c r="AZ52" s="17">
        <f>IF(AND(B52="",C52=""),"",SUMPRODUCT(--(D52:M52=$D$3:$M$3)))</f>
        <v/>
      </c>
      <c r="BA52" s="17">
        <f>IF(N52="","",MATCH(N52,$AW$2:$AW$6,0))</f>
        <v/>
      </c>
      <c r="BB52" s="17">
        <f>IF(O52="","",MATCH(O52,$AW$2:$AW$6,0))</f>
        <v/>
      </c>
      <c r="BC52" s="17">
        <f>IF(P52="","",MATCH(P52,$AW$2:$AW$6,0))</f>
        <v/>
      </c>
      <c r="BD52" s="17">
        <f>IF(Q52="","",MATCH(Q52,$AW$2:$AW$6,0))</f>
        <v/>
      </c>
      <c r="BE52" s="17">
        <f>IF(R52="","",MATCH(R52,$AW$2:$AW$6,0))</f>
        <v/>
      </c>
      <c r="BF52" s="17">
        <f>IF(S52="","",MATCH(S52,$AW$2:$AW$6,0))</f>
        <v/>
      </c>
      <c r="BG52" s="17">
        <f>IF(T52="","",MATCH(T52,$AW$2:$AW$6,0))</f>
        <v/>
      </c>
      <c r="BH52" s="17">
        <f>IF(U52="","",MATCH(U52,$AW$2:$AW$6,0))</f>
        <v/>
      </c>
      <c r="BI52" s="17">
        <f>IF(V52="","",MATCH(V52,$AW$2:$AW$6,0))</f>
        <v/>
      </c>
      <c r="BJ52" s="17">
        <f>IF(W52="","",MATCH(W52,$AW$2:$AW$6,0))</f>
        <v/>
      </c>
      <c r="BK52" s="17">
        <f>IF(X52="","",MATCH(X52,$AW$2:$AW$6,0))</f>
        <v/>
      </c>
      <c r="BL52" s="17">
        <f>IF(Y52="","",MATCH(Y52,$AW$2:$AW$6,0))</f>
        <v/>
      </c>
      <c r="BM52" s="17">
        <f>IF(Z52="","",MATCH(Z52,$AW$2:$AW$6,0))</f>
        <v/>
      </c>
      <c r="BN52" s="17">
        <f>IF(AA52="","",MATCH(AA52,$AW$2:$AW$6,0))</f>
        <v/>
      </c>
      <c r="BO52" s="17">
        <f>IF(AB52="","",MATCH(AB52,$AW$2:$AW$6,0))</f>
        <v/>
      </c>
      <c r="BP52" s="17">
        <f>IF(AC52="","",MATCH(AC52,$AW$2:$AW$6,0))</f>
        <v/>
      </c>
      <c r="BQ52" s="17">
        <f>IF(AD52="","",MATCH(AD52,$AW$2:$AW$6,0))</f>
        <v/>
      </c>
      <c r="BR52" s="17">
        <f>IF(AE52="","",MATCH(AE52,$AW$2:$AW$6,0))</f>
        <v/>
      </c>
      <c r="BS52" s="17">
        <f>IF(AF52="","",MATCH(AF52,$AW$2:$AW$6,0))</f>
        <v/>
      </c>
      <c r="BT52" s="17">
        <f>IF(AG52="","",MATCH(AG52,$AW$2:$AW$6,0))</f>
        <v/>
      </c>
      <c r="BU52" s="17">
        <f>IF(AH52="","",MATCH(AH52,$AW$2:$AW$6,0))</f>
        <v/>
      </c>
      <c r="BV52" s="17">
        <f>IF(AI52="","",MATCH(AI52,$AW$2:$AW$6,0))</f>
        <v/>
      </c>
      <c r="BW52" s="17">
        <f>IF(AJ52="","",MATCH(AJ52,$AW$2:$AW$6,0))</f>
        <v/>
      </c>
      <c r="BX52" s="17">
        <f>IF(AK52="","",MATCH(AK52,$AW$2:$AW$6,0))</f>
        <v/>
      </c>
      <c r="BY52" s="17">
        <f>IF(AL52="","",MATCH(AL52,$AW$2:$AW$6,0))</f>
        <v/>
      </c>
      <c r="BZ52" s="17">
        <f>IF(AM52="","",MATCH(AM52,$AW$2:$AW$6,0))</f>
        <v/>
      </c>
      <c r="CA52" s="17">
        <f>IF(AN52="","",MATCH(AN52,$AW$2:$AW$6,0))</f>
        <v/>
      </c>
      <c r="CB52" s="17">
        <f>IF(AO52="","",MATCH(AO52,$AW$2:$AW$6,0))</f>
        <v/>
      </c>
      <c r="CC52" s="17">
        <f>IF(AP52="","",MATCH(AP52,$AW$2:$AW$6,0))</f>
        <v/>
      </c>
      <c r="CD52" s="17">
        <f>IF(AQ52="","",MATCH(AQ52,$AW$2:$AW$6,0))</f>
        <v/>
      </c>
      <c r="CE52" s="34" t="n"/>
      <c r="CF52" s="34" t="n"/>
      <c r="CG52" s="34" t="n"/>
      <c r="CH52" s="34" t="n"/>
      <c r="CI52" s="16">
        <f>IF(AR52="","",AR52)</f>
        <v/>
      </c>
      <c r="CJ52" s="16">
        <f>IF(AS52="","",AS52)</f>
        <v/>
      </c>
      <c r="CK52" s="16">
        <f>IF(AT52="","",AT52)</f>
        <v/>
      </c>
      <c r="CL52" s="16">
        <f>IF(AU52="","",AU52)</f>
        <v/>
      </c>
      <c r="CM52" s="35">
        <f>IF(AY52="","",IF(COUNTIF($AY$5:$AY$64,AY52)&gt;1,"중복! 마지막 것만 남기세요",""))</f>
        <v/>
      </c>
    </row>
    <row r="53">
      <c r="AY53" s="16">
        <f>IF(AND(B53="",C53=""),"",TRIM(B53)&amp;" "&amp;TRIM(C53))</f>
        <v/>
      </c>
      <c r="AZ53" s="17">
        <f>IF(AND(B53="",C53=""),"",SUMPRODUCT(--(D53:M53=$D$3:$M$3)))</f>
        <v/>
      </c>
      <c r="BA53" s="17">
        <f>IF(N53="","",MATCH(N53,$AW$2:$AW$6,0))</f>
        <v/>
      </c>
      <c r="BB53" s="17">
        <f>IF(O53="","",MATCH(O53,$AW$2:$AW$6,0))</f>
        <v/>
      </c>
      <c r="BC53" s="17">
        <f>IF(P53="","",MATCH(P53,$AW$2:$AW$6,0))</f>
        <v/>
      </c>
      <c r="BD53" s="17">
        <f>IF(Q53="","",MATCH(Q53,$AW$2:$AW$6,0))</f>
        <v/>
      </c>
      <c r="BE53" s="17">
        <f>IF(R53="","",MATCH(R53,$AW$2:$AW$6,0))</f>
        <v/>
      </c>
      <c r="BF53" s="17">
        <f>IF(S53="","",MATCH(S53,$AW$2:$AW$6,0))</f>
        <v/>
      </c>
      <c r="BG53" s="17">
        <f>IF(T53="","",MATCH(T53,$AW$2:$AW$6,0))</f>
        <v/>
      </c>
      <c r="BH53" s="17">
        <f>IF(U53="","",MATCH(U53,$AW$2:$AW$6,0))</f>
        <v/>
      </c>
      <c r="BI53" s="17">
        <f>IF(V53="","",MATCH(V53,$AW$2:$AW$6,0))</f>
        <v/>
      </c>
      <c r="BJ53" s="17">
        <f>IF(W53="","",MATCH(W53,$AW$2:$AW$6,0))</f>
        <v/>
      </c>
      <c r="BK53" s="17">
        <f>IF(X53="","",MATCH(X53,$AW$2:$AW$6,0))</f>
        <v/>
      </c>
      <c r="BL53" s="17">
        <f>IF(Y53="","",MATCH(Y53,$AW$2:$AW$6,0))</f>
        <v/>
      </c>
      <c r="BM53" s="17">
        <f>IF(Z53="","",MATCH(Z53,$AW$2:$AW$6,0))</f>
        <v/>
      </c>
      <c r="BN53" s="17">
        <f>IF(AA53="","",MATCH(AA53,$AW$2:$AW$6,0))</f>
        <v/>
      </c>
      <c r="BO53" s="17">
        <f>IF(AB53="","",MATCH(AB53,$AW$2:$AW$6,0))</f>
        <v/>
      </c>
      <c r="BP53" s="17">
        <f>IF(AC53="","",MATCH(AC53,$AW$2:$AW$6,0))</f>
        <v/>
      </c>
      <c r="BQ53" s="17">
        <f>IF(AD53="","",MATCH(AD53,$AW$2:$AW$6,0))</f>
        <v/>
      </c>
      <c r="BR53" s="17">
        <f>IF(AE53="","",MATCH(AE53,$AW$2:$AW$6,0))</f>
        <v/>
      </c>
      <c r="BS53" s="17">
        <f>IF(AF53="","",MATCH(AF53,$AW$2:$AW$6,0))</f>
        <v/>
      </c>
      <c r="BT53" s="17">
        <f>IF(AG53="","",MATCH(AG53,$AW$2:$AW$6,0))</f>
        <v/>
      </c>
      <c r="BU53" s="17">
        <f>IF(AH53="","",MATCH(AH53,$AW$2:$AW$6,0))</f>
        <v/>
      </c>
      <c r="BV53" s="17">
        <f>IF(AI53="","",MATCH(AI53,$AW$2:$AW$6,0))</f>
        <v/>
      </c>
      <c r="BW53" s="17">
        <f>IF(AJ53="","",MATCH(AJ53,$AW$2:$AW$6,0))</f>
        <v/>
      </c>
      <c r="BX53" s="17">
        <f>IF(AK53="","",MATCH(AK53,$AW$2:$AW$6,0))</f>
        <v/>
      </c>
      <c r="BY53" s="17">
        <f>IF(AL53="","",MATCH(AL53,$AW$2:$AW$6,0))</f>
        <v/>
      </c>
      <c r="BZ53" s="17">
        <f>IF(AM53="","",MATCH(AM53,$AW$2:$AW$6,0))</f>
        <v/>
      </c>
      <c r="CA53" s="17">
        <f>IF(AN53="","",MATCH(AN53,$AW$2:$AW$6,0))</f>
        <v/>
      </c>
      <c r="CB53" s="17">
        <f>IF(AO53="","",MATCH(AO53,$AW$2:$AW$6,0))</f>
        <v/>
      </c>
      <c r="CC53" s="17">
        <f>IF(AP53="","",MATCH(AP53,$AW$2:$AW$6,0))</f>
        <v/>
      </c>
      <c r="CD53" s="17">
        <f>IF(AQ53="","",MATCH(AQ53,$AW$2:$AW$6,0))</f>
        <v/>
      </c>
      <c r="CE53" s="34" t="n"/>
      <c r="CF53" s="34" t="n"/>
      <c r="CG53" s="34" t="n"/>
      <c r="CH53" s="34" t="n"/>
      <c r="CI53" s="16">
        <f>IF(AR53="","",AR53)</f>
        <v/>
      </c>
      <c r="CJ53" s="16">
        <f>IF(AS53="","",AS53)</f>
        <v/>
      </c>
      <c r="CK53" s="16">
        <f>IF(AT53="","",AT53)</f>
        <v/>
      </c>
      <c r="CL53" s="16">
        <f>IF(AU53="","",AU53)</f>
        <v/>
      </c>
      <c r="CM53" s="35">
        <f>IF(AY53="","",IF(COUNTIF($AY$5:$AY$64,AY53)&gt;1,"중복! 마지막 것만 남기세요",""))</f>
        <v/>
      </c>
    </row>
    <row r="54">
      <c r="AY54" s="16">
        <f>IF(AND(B54="",C54=""),"",TRIM(B54)&amp;" "&amp;TRIM(C54))</f>
        <v/>
      </c>
      <c r="AZ54" s="17">
        <f>IF(AND(B54="",C54=""),"",SUMPRODUCT(--(D54:M54=$D$3:$M$3)))</f>
        <v/>
      </c>
      <c r="BA54" s="17">
        <f>IF(N54="","",MATCH(N54,$AW$2:$AW$6,0))</f>
        <v/>
      </c>
      <c r="BB54" s="17">
        <f>IF(O54="","",MATCH(O54,$AW$2:$AW$6,0))</f>
        <v/>
      </c>
      <c r="BC54" s="17">
        <f>IF(P54="","",MATCH(P54,$AW$2:$AW$6,0))</f>
        <v/>
      </c>
      <c r="BD54" s="17">
        <f>IF(Q54="","",MATCH(Q54,$AW$2:$AW$6,0))</f>
        <v/>
      </c>
      <c r="BE54" s="17">
        <f>IF(R54="","",MATCH(R54,$AW$2:$AW$6,0))</f>
        <v/>
      </c>
      <c r="BF54" s="17">
        <f>IF(S54="","",MATCH(S54,$AW$2:$AW$6,0))</f>
        <v/>
      </c>
      <c r="BG54" s="17">
        <f>IF(T54="","",MATCH(T54,$AW$2:$AW$6,0))</f>
        <v/>
      </c>
      <c r="BH54" s="17">
        <f>IF(U54="","",MATCH(U54,$AW$2:$AW$6,0))</f>
        <v/>
      </c>
      <c r="BI54" s="17">
        <f>IF(V54="","",MATCH(V54,$AW$2:$AW$6,0))</f>
        <v/>
      </c>
      <c r="BJ54" s="17">
        <f>IF(W54="","",MATCH(W54,$AW$2:$AW$6,0))</f>
        <v/>
      </c>
      <c r="BK54" s="17">
        <f>IF(X54="","",MATCH(X54,$AW$2:$AW$6,0))</f>
        <v/>
      </c>
      <c r="BL54" s="17">
        <f>IF(Y54="","",MATCH(Y54,$AW$2:$AW$6,0))</f>
        <v/>
      </c>
      <c r="BM54" s="17">
        <f>IF(Z54="","",MATCH(Z54,$AW$2:$AW$6,0))</f>
        <v/>
      </c>
      <c r="BN54" s="17">
        <f>IF(AA54="","",MATCH(AA54,$AW$2:$AW$6,0))</f>
        <v/>
      </c>
      <c r="BO54" s="17">
        <f>IF(AB54="","",MATCH(AB54,$AW$2:$AW$6,0))</f>
        <v/>
      </c>
      <c r="BP54" s="17">
        <f>IF(AC54="","",MATCH(AC54,$AW$2:$AW$6,0))</f>
        <v/>
      </c>
      <c r="BQ54" s="17">
        <f>IF(AD54="","",MATCH(AD54,$AW$2:$AW$6,0))</f>
        <v/>
      </c>
      <c r="BR54" s="17">
        <f>IF(AE54="","",MATCH(AE54,$AW$2:$AW$6,0))</f>
        <v/>
      </c>
      <c r="BS54" s="17">
        <f>IF(AF54="","",MATCH(AF54,$AW$2:$AW$6,0))</f>
        <v/>
      </c>
      <c r="BT54" s="17">
        <f>IF(AG54="","",MATCH(AG54,$AW$2:$AW$6,0))</f>
        <v/>
      </c>
      <c r="BU54" s="17">
        <f>IF(AH54="","",MATCH(AH54,$AW$2:$AW$6,0))</f>
        <v/>
      </c>
      <c r="BV54" s="17">
        <f>IF(AI54="","",MATCH(AI54,$AW$2:$AW$6,0))</f>
        <v/>
      </c>
      <c r="BW54" s="17">
        <f>IF(AJ54="","",MATCH(AJ54,$AW$2:$AW$6,0))</f>
        <v/>
      </c>
      <c r="BX54" s="17">
        <f>IF(AK54="","",MATCH(AK54,$AW$2:$AW$6,0))</f>
        <v/>
      </c>
      <c r="BY54" s="17">
        <f>IF(AL54="","",MATCH(AL54,$AW$2:$AW$6,0))</f>
        <v/>
      </c>
      <c r="BZ54" s="17">
        <f>IF(AM54="","",MATCH(AM54,$AW$2:$AW$6,0))</f>
        <v/>
      </c>
      <c r="CA54" s="17">
        <f>IF(AN54="","",MATCH(AN54,$AW$2:$AW$6,0))</f>
        <v/>
      </c>
      <c r="CB54" s="17">
        <f>IF(AO54="","",MATCH(AO54,$AW$2:$AW$6,0))</f>
        <v/>
      </c>
      <c r="CC54" s="17">
        <f>IF(AP54="","",MATCH(AP54,$AW$2:$AW$6,0))</f>
        <v/>
      </c>
      <c r="CD54" s="17">
        <f>IF(AQ54="","",MATCH(AQ54,$AW$2:$AW$6,0))</f>
        <v/>
      </c>
      <c r="CE54" s="34" t="n"/>
      <c r="CF54" s="34" t="n"/>
      <c r="CG54" s="34" t="n"/>
      <c r="CH54" s="34" t="n"/>
      <c r="CI54" s="16">
        <f>IF(AR54="","",AR54)</f>
        <v/>
      </c>
      <c r="CJ54" s="16">
        <f>IF(AS54="","",AS54)</f>
        <v/>
      </c>
      <c r="CK54" s="16">
        <f>IF(AT54="","",AT54)</f>
        <v/>
      </c>
      <c r="CL54" s="16">
        <f>IF(AU54="","",AU54)</f>
        <v/>
      </c>
      <c r="CM54" s="35">
        <f>IF(AY54="","",IF(COUNTIF($AY$5:$AY$64,AY54)&gt;1,"중복! 마지막 것만 남기세요",""))</f>
        <v/>
      </c>
    </row>
    <row r="55">
      <c r="AY55" s="16">
        <f>IF(AND(B55="",C55=""),"",TRIM(B55)&amp;" "&amp;TRIM(C55))</f>
        <v/>
      </c>
      <c r="AZ55" s="17">
        <f>IF(AND(B55="",C55=""),"",SUMPRODUCT(--(D55:M55=$D$3:$M$3)))</f>
        <v/>
      </c>
      <c r="BA55" s="17">
        <f>IF(N55="","",MATCH(N55,$AW$2:$AW$6,0))</f>
        <v/>
      </c>
      <c r="BB55" s="17">
        <f>IF(O55="","",MATCH(O55,$AW$2:$AW$6,0))</f>
        <v/>
      </c>
      <c r="BC55" s="17">
        <f>IF(P55="","",MATCH(P55,$AW$2:$AW$6,0))</f>
        <v/>
      </c>
      <c r="BD55" s="17">
        <f>IF(Q55="","",MATCH(Q55,$AW$2:$AW$6,0))</f>
        <v/>
      </c>
      <c r="BE55" s="17">
        <f>IF(R55="","",MATCH(R55,$AW$2:$AW$6,0))</f>
        <v/>
      </c>
      <c r="BF55" s="17">
        <f>IF(S55="","",MATCH(S55,$AW$2:$AW$6,0))</f>
        <v/>
      </c>
      <c r="BG55" s="17">
        <f>IF(T55="","",MATCH(T55,$AW$2:$AW$6,0))</f>
        <v/>
      </c>
      <c r="BH55" s="17">
        <f>IF(U55="","",MATCH(U55,$AW$2:$AW$6,0))</f>
        <v/>
      </c>
      <c r="BI55" s="17">
        <f>IF(V55="","",MATCH(V55,$AW$2:$AW$6,0))</f>
        <v/>
      </c>
      <c r="BJ55" s="17">
        <f>IF(W55="","",MATCH(W55,$AW$2:$AW$6,0))</f>
        <v/>
      </c>
      <c r="BK55" s="17">
        <f>IF(X55="","",MATCH(X55,$AW$2:$AW$6,0))</f>
        <v/>
      </c>
      <c r="BL55" s="17">
        <f>IF(Y55="","",MATCH(Y55,$AW$2:$AW$6,0))</f>
        <v/>
      </c>
      <c r="BM55" s="17">
        <f>IF(Z55="","",MATCH(Z55,$AW$2:$AW$6,0))</f>
        <v/>
      </c>
      <c r="BN55" s="17">
        <f>IF(AA55="","",MATCH(AA55,$AW$2:$AW$6,0))</f>
        <v/>
      </c>
      <c r="BO55" s="17">
        <f>IF(AB55="","",MATCH(AB55,$AW$2:$AW$6,0))</f>
        <v/>
      </c>
      <c r="BP55" s="17">
        <f>IF(AC55="","",MATCH(AC55,$AW$2:$AW$6,0))</f>
        <v/>
      </c>
      <c r="BQ55" s="17">
        <f>IF(AD55="","",MATCH(AD55,$AW$2:$AW$6,0))</f>
        <v/>
      </c>
      <c r="BR55" s="17">
        <f>IF(AE55="","",MATCH(AE55,$AW$2:$AW$6,0))</f>
        <v/>
      </c>
      <c r="BS55" s="17">
        <f>IF(AF55="","",MATCH(AF55,$AW$2:$AW$6,0))</f>
        <v/>
      </c>
      <c r="BT55" s="17">
        <f>IF(AG55="","",MATCH(AG55,$AW$2:$AW$6,0))</f>
        <v/>
      </c>
      <c r="BU55" s="17">
        <f>IF(AH55="","",MATCH(AH55,$AW$2:$AW$6,0))</f>
        <v/>
      </c>
      <c r="BV55" s="17">
        <f>IF(AI55="","",MATCH(AI55,$AW$2:$AW$6,0))</f>
        <v/>
      </c>
      <c r="BW55" s="17">
        <f>IF(AJ55="","",MATCH(AJ55,$AW$2:$AW$6,0))</f>
        <v/>
      </c>
      <c r="BX55" s="17">
        <f>IF(AK55="","",MATCH(AK55,$AW$2:$AW$6,0))</f>
        <v/>
      </c>
      <c r="BY55" s="17">
        <f>IF(AL55="","",MATCH(AL55,$AW$2:$AW$6,0))</f>
        <v/>
      </c>
      <c r="BZ55" s="17">
        <f>IF(AM55="","",MATCH(AM55,$AW$2:$AW$6,0))</f>
        <v/>
      </c>
      <c r="CA55" s="17">
        <f>IF(AN55="","",MATCH(AN55,$AW$2:$AW$6,0))</f>
        <v/>
      </c>
      <c r="CB55" s="17">
        <f>IF(AO55="","",MATCH(AO55,$AW$2:$AW$6,0))</f>
        <v/>
      </c>
      <c r="CC55" s="17">
        <f>IF(AP55="","",MATCH(AP55,$AW$2:$AW$6,0))</f>
        <v/>
      </c>
      <c r="CD55" s="17">
        <f>IF(AQ55="","",MATCH(AQ55,$AW$2:$AW$6,0))</f>
        <v/>
      </c>
      <c r="CE55" s="34" t="n"/>
      <c r="CF55" s="34" t="n"/>
      <c r="CG55" s="34" t="n"/>
      <c r="CH55" s="34" t="n"/>
      <c r="CI55" s="16">
        <f>IF(AR55="","",AR55)</f>
        <v/>
      </c>
      <c r="CJ55" s="16">
        <f>IF(AS55="","",AS55)</f>
        <v/>
      </c>
      <c r="CK55" s="16">
        <f>IF(AT55="","",AT55)</f>
        <v/>
      </c>
      <c r="CL55" s="16">
        <f>IF(AU55="","",AU55)</f>
        <v/>
      </c>
      <c r="CM55" s="35">
        <f>IF(AY55="","",IF(COUNTIF($AY$5:$AY$64,AY55)&gt;1,"중복! 마지막 것만 남기세요",""))</f>
        <v/>
      </c>
    </row>
    <row r="56">
      <c r="AY56" s="16">
        <f>IF(AND(B56="",C56=""),"",TRIM(B56)&amp;" "&amp;TRIM(C56))</f>
        <v/>
      </c>
      <c r="AZ56" s="17">
        <f>IF(AND(B56="",C56=""),"",SUMPRODUCT(--(D56:M56=$D$3:$M$3)))</f>
        <v/>
      </c>
      <c r="BA56" s="17">
        <f>IF(N56="","",MATCH(N56,$AW$2:$AW$6,0))</f>
        <v/>
      </c>
      <c r="BB56" s="17">
        <f>IF(O56="","",MATCH(O56,$AW$2:$AW$6,0))</f>
        <v/>
      </c>
      <c r="BC56" s="17">
        <f>IF(P56="","",MATCH(P56,$AW$2:$AW$6,0))</f>
        <v/>
      </c>
      <c r="BD56" s="17">
        <f>IF(Q56="","",MATCH(Q56,$AW$2:$AW$6,0))</f>
        <v/>
      </c>
      <c r="BE56" s="17">
        <f>IF(R56="","",MATCH(R56,$AW$2:$AW$6,0))</f>
        <v/>
      </c>
      <c r="BF56" s="17">
        <f>IF(S56="","",MATCH(S56,$AW$2:$AW$6,0))</f>
        <v/>
      </c>
      <c r="BG56" s="17">
        <f>IF(T56="","",MATCH(T56,$AW$2:$AW$6,0))</f>
        <v/>
      </c>
      <c r="BH56" s="17">
        <f>IF(U56="","",MATCH(U56,$AW$2:$AW$6,0))</f>
        <v/>
      </c>
      <c r="BI56" s="17">
        <f>IF(V56="","",MATCH(V56,$AW$2:$AW$6,0))</f>
        <v/>
      </c>
      <c r="BJ56" s="17">
        <f>IF(W56="","",MATCH(W56,$AW$2:$AW$6,0))</f>
        <v/>
      </c>
      <c r="BK56" s="17">
        <f>IF(X56="","",MATCH(X56,$AW$2:$AW$6,0))</f>
        <v/>
      </c>
      <c r="BL56" s="17">
        <f>IF(Y56="","",MATCH(Y56,$AW$2:$AW$6,0))</f>
        <v/>
      </c>
      <c r="BM56" s="17">
        <f>IF(Z56="","",MATCH(Z56,$AW$2:$AW$6,0))</f>
        <v/>
      </c>
      <c r="BN56" s="17">
        <f>IF(AA56="","",MATCH(AA56,$AW$2:$AW$6,0))</f>
        <v/>
      </c>
      <c r="BO56" s="17">
        <f>IF(AB56="","",MATCH(AB56,$AW$2:$AW$6,0))</f>
        <v/>
      </c>
      <c r="BP56" s="17">
        <f>IF(AC56="","",MATCH(AC56,$AW$2:$AW$6,0))</f>
        <v/>
      </c>
      <c r="BQ56" s="17">
        <f>IF(AD56="","",MATCH(AD56,$AW$2:$AW$6,0))</f>
        <v/>
      </c>
      <c r="BR56" s="17">
        <f>IF(AE56="","",MATCH(AE56,$AW$2:$AW$6,0))</f>
        <v/>
      </c>
      <c r="BS56" s="17">
        <f>IF(AF56="","",MATCH(AF56,$AW$2:$AW$6,0))</f>
        <v/>
      </c>
      <c r="BT56" s="17">
        <f>IF(AG56="","",MATCH(AG56,$AW$2:$AW$6,0))</f>
        <v/>
      </c>
      <c r="BU56" s="17">
        <f>IF(AH56="","",MATCH(AH56,$AW$2:$AW$6,0))</f>
        <v/>
      </c>
      <c r="BV56" s="17">
        <f>IF(AI56="","",MATCH(AI56,$AW$2:$AW$6,0))</f>
        <v/>
      </c>
      <c r="BW56" s="17">
        <f>IF(AJ56="","",MATCH(AJ56,$AW$2:$AW$6,0))</f>
        <v/>
      </c>
      <c r="BX56" s="17">
        <f>IF(AK56="","",MATCH(AK56,$AW$2:$AW$6,0))</f>
        <v/>
      </c>
      <c r="BY56" s="17">
        <f>IF(AL56="","",MATCH(AL56,$AW$2:$AW$6,0))</f>
        <v/>
      </c>
      <c r="BZ56" s="17">
        <f>IF(AM56="","",MATCH(AM56,$AW$2:$AW$6,0))</f>
        <v/>
      </c>
      <c r="CA56" s="17">
        <f>IF(AN56="","",MATCH(AN56,$AW$2:$AW$6,0))</f>
        <v/>
      </c>
      <c r="CB56" s="17">
        <f>IF(AO56="","",MATCH(AO56,$AW$2:$AW$6,0))</f>
        <v/>
      </c>
      <c r="CC56" s="17">
        <f>IF(AP56="","",MATCH(AP56,$AW$2:$AW$6,0))</f>
        <v/>
      </c>
      <c r="CD56" s="17">
        <f>IF(AQ56="","",MATCH(AQ56,$AW$2:$AW$6,0))</f>
        <v/>
      </c>
      <c r="CE56" s="34" t="n"/>
      <c r="CF56" s="34" t="n"/>
      <c r="CG56" s="34" t="n"/>
      <c r="CH56" s="34" t="n"/>
      <c r="CI56" s="16">
        <f>IF(AR56="","",AR56)</f>
        <v/>
      </c>
      <c r="CJ56" s="16">
        <f>IF(AS56="","",AS56)</f>
        <v/>
      </c>
      <c r="CK56" s="16">
        <f>IF(AT56="","",AT56)</f>
        <v/>
      </c>
      <c r="CL56" s="16">
        <f>IF(AU56="","",AU56)</f>
        <v/>
      </c>
      <c r="CM56" s="35">
        <f>IF(AY56="","",IF(COUNTIF($AY$5:$AY$64,AY56)&gt;1,"중복! 마지막 것만 남기세요",""))</f>
        <v/>
      </c>
    </row>
    <row r="57">
      <c r="AY57" s="16">
        <f>IF(AND(B57="",C57=""),"",TRIM(B57)&amp;" "&amp;TRIM(C57))</f>
        <v/>
      </c>
      <c r="AZ57" s="17">
        <f>IF(AND(B57="",C57=""),"",SUMPRODUCT(--(D57:M57=$D$3:$M$3)))</f>
        <v/>
      </c>
      <c r="BA57" s="17">
        <f>IF(N57="","",MATCH(N57,$AW$2:$AW$6,0))</f>
        <v/>
      </c>
      <c r="BB57" s="17">
        <f>IF(O57="","",MATCH(O57,$AW$2:$AW$6,0))</f>
        <v/>
      </c>
      <c r="BC57" s="17">
        <f>IF(P57="","",MATCH(P57,$AW$2:$AW$6,0))</f>
        <v/>
      </c>
      <c r="BD57" s="17">
        <f>IF(Q57="","",MATCH(Q57,$AW$2:$AW$6,0))</f>
        <v/>
      </c>
      <c r="BE57" s="17">
        <f>IF(R57="","",MATCH(R57,$AW$2:$AW$6,0))</f>
        <v/>
      </c>
      <c r="BF57" s="17">
        <f>IF(S57="","",MATCH(S57,$AW$2:$AW$6,0))</f>
        <v/>
      </c>
      <c r="BG57" s="17">
        <f>IF(T57="","",MATCH(T57,$AW$2:$AW$6,0))</f>
        <v/>
      </c>
      <c r="BH57" s="17">
        <f>IF(U57="","",MATCH(U57,$AW$2:$AW$6,0))</f>
        <v/>
      </c>
      <c r="BI57" s="17">
        <f>IF(V57="","",MATCH(V57,$AW$2:$AW$6,0))</f>
        <v/>
      </c>
      <c r="BJ57" s="17">
        <f>IF(W57="","",MATCH(W57,$AW$2:$AW$6,0))</f>
        <v/>
      </c>
      <c r="BK57" s="17">
        <f>IF(X57="","",MATCH(X57,$AW$2:$AW$6,0))</f>
        <v/>
      </c>
      <c r="BL57" s="17">
        <f>IF(Y57="","",MATCH(Y57,$AW$2:$AW$6,0))</f>
        <v/>
      </c>
      <c r="BM57" s="17">
        <f>IF(Z57="","",MATCH(Z57,$AW$2:$AW$6,0))</f>
        <v/>
      </c>
      <c r="BN57" s="17">
        <f>IF(AA57="","",MATCH(AA57,$AW$2:$AW$6,0))</f>
        <v/>
      </c>
      <c r="BO57" s="17">
        <f>IF(AB57="","",MATCH(AB57,$AW$2:$AW$6,0))</f>
        <v/>
      </c>
      <c r="BP57" s="17">
        <f>IF(AC57="","",MATCH(AC57,$AW$2:$AW$6,0))</f>
        <v/>
      </c>
      <c r="BQ57" s="17">
        <f>IF(AD57="","",MATCH(AD57,$AW$2:$AW$6,0))</f>
        <v/>
      </c>
      <c r="BR57" s="17">
        <f>IF(AE57="","",MATCH(AE57,$AW$2:$AW$6,0))</f>
        <v/>
      </c>
      <c r="BS57" s="17">
        <f>IF(AF57="","",MATCH(AF57,$AW$2:$AW$6,0))</f>
        <v/>
      </c>
      <c r="BT57" s="17">
        <f>IF(AG57="","",MATCH(AG57,$AW$2:$AW$6,0))</f>
        <v/>
      </c>
      <c r="BU57" s="17">
        <f>IF(AH57="","",MATCH(AH57,$AW$2:$AW$6,0))</f>
        <v/>
      </c>
      <c r="BV57" s="17">
        <f>IF(AI57="","",MATCH(AI57,$AW$2:$AW$6,0))</f>
        <v/>
      </c>
      <c r="BW57" s="17">
        <f>IF(AJ57="","",MATCH(AJ57,$AW$2:$AW$6,0))</f>
        <v/>
      </c>
      <c r="BX57" s="17">
        <f>IF(AK57="","",MATCH(AK57,$AW$2:$AW$6,0))</f>
        <v/>
      </c>
      <c r="BY57" s="17">
        <f>IF(AL57="","",MATCH(AL57,$AW$2:$AW$6,0))</f>
        <v/>
      </c>
      <c r="BZ57" s="17">
        <f>IF(AM57="","",MATCH(AM57,$AW$2:$AW$6,0))</f>
        <v/>
      </c>
      <c r="CA57" s="17">
        <f>IF(AN57="","",MATCH(AN57,$AW$2:$AW$6,0))</f>
        <v/>
      </c>
      <c r="CB57" s="17">
        <f>IF(AO57="","",MATCH(AO57,$AW$2:$AW$6,0))</f>
        <v/>
      </c>
      <c r="CC57" s="17">
        <f>IF(AP57="","",MATCH(AP57,$AW$2:$AW$6,0))</f>
        <v/>
      </c>
      <c r="CD57" s="17">
        <f>IF(AQ57="","",MATCH(AQ57,$AW$2:$AW$6,0))</f>
        <v/>
      </c>
      <c r="CE57" s="34" t="n"/>
      <c r="CF57" s="34" t="n"/>
      <c r="CG57" s="34" t="n"/>
      <c r="CH57" s="34" t="n"/>
      <c r="CI57" s="16">
        <f>IF(AR57="","",AR57)</f>
        <v/>
      </c>
      <c r="CJ57" s="16">
        <f>IF(AS57="","",AS57)</f>
        <v/>
      </c>
      <c r="CK57" s="16">
        <f>IF(AT57="","",AT57)</f>
        <v/>
      </c>
      <c r="CL57" s="16">
        <f>IF(AU57="","",AU57)</f>
        <v/>
      </c>
      <c r="CM57" s="35">
        <f>IF(AY57="","",IF(COUNTIF($AY$5:$AY$64,AY57)&gt;1,"중복! 마지막 것만 남기세요",""))</f>
        <v/>
      </c>
    </row>
    <row r="58">
      <c r="AY58" s="16">
        <f>IF(AND(B58="",C58=""),"",TRIM(B58)&amp;" "&amp;TRIM(C58))</f>
        <v/>
      </c>
      <c r="AZ58" s="17">
        <f>IF(AND(B58="",C58=""),"",SUMPRODUCT(--(D58:M58=$D$3:$M$3)))</f>
        <v/>
      </c>
      <c r="BA58" s="17">
        <f>IF(N58="","",MATCH(N58,$AW$2:$AW$6,0))</f>
        <v/>
      </c>
      <c r="BB58" s="17">
        <f>IF(O58="","",MATCH(O58,$AW$2:$AW$6,0))</f>
        <v/>
      </c>
      <c r="BC58" s="17">
        <f>IF(P58="","",MATCH(P58,$AW$2:$AW$6,0))</f>
        <v/>
      </c>
      <c r="BD58" s="17">
        <f>IF(Q58="","",MATCH(Q58,$AW$2:$AW$6,0))</f>
        <v/>
      </c>
      <c r="BE58" s="17">
        <f>IF(R58="","",MATCH(R58,$AW$2:$AW$6,0))</f>
        <v/>
      </c>
      <c r="BF58" s="17">
        <f>IF(S58="","",MATCH(S58,$AW$2:$AW$6,0))</f>
        <v/>
      </c>
      <c r="BG58" s="17">
        <f>IF(T58="","",MATCH(T58,$AW$2:$AW$6,0))</f>
        <v/>
      </c>
      <c r="BH58" s="17">
        <f>IF(U58="","",MATCH(U58,$AW$2:$AW$6,0))</f>
        <v/>
      </c>
      <c r="BI58" s="17">
        <f>IF(V58="","",MATCH(V58,$AW$2:$AW$6,0))</f>
        <v/>
      </c>
      <c r="BJ58" s="17">
        <f>IF(W58="","",MATCH(W58,$AW$2:$AW$6,0))</f>
        <v/>
      </c>
      <c r="BK58" s="17">
        <f>IF(X58="","",MATCH(X58,$AW$2:$AW$6,0))</f>
        <v/>
      </c>
      <c r="BL58" s="17">
        <f>IF(Y58="","",MATCH(Y58,$AW$2:$AW$6,0))</f>
        <v/>
      </c>
      <c r="BM58" s="17">
        <f>IF(Z58="","",MATCH(Z58,$AW$2:$AW$6,0))</f>
        <v/>
      </c>
      <c r="BN58" s="17">
        <f>IF(AA58="","",MATCH(AA58,$AW$2:$AW$6,0))</f>
        <v/>
      </c>
      <c r="BO58" s="17">
        <f>IF(AB58="","",MATCH(AB58,$AW$2:$AW$6,0))</f>
        <v/>
      </c>
      <c r="BP58" s="17">
        <f>IF(AC58="","",MATCH(AC58,$AW$2:$AW$6,0))</f>
        <v/>
      </c>
      <c r="BQ58" s="17">
        <f>IF(AD58="","",MATCH(AD58,$AW$2:$AW$6,0))</f>
        <v/>
      </c>
      <c r="BR58" s="17">
        <f>IF(AE58="","",MATCH(AE58,$AW$2:$AW$6,0))</f>
        <v/>
      </c>
      <c r="BS58" s="17">
        <f>IF(AF58="","",MATCH(AF58,$AW$2:$AW$6,0))</f>
        <v/>
      </c>
      <c r="BT58" s="17">
        <f>IF(AG58="","",MATCH(AG58,$AW$2:$AW$6,0))</f>
        <v/>
      </c>
      <c r="BU58" s="17">
        <f>IF(AH58="","",MATCH(AH58,$AW$2:$AW$6,0))</f>
        <v/>
      </c>
      <c r="BV58" s="17">
        <f>IF(AI58="","",MATCH(AI58,$AW$2:$AW$6,0))</f>
        <v/>
      </c>
      <c r="BW58" s="17">
        <f>IF(AJ58="","",MATCH(AJ58,$AW$2:$AW$6,0))</f>
        <v/>
      </c>
      <c r="BX58" s="17">
        <f>IF(AK58="","",MATCH(AK58,$AW$2:$AW$6,0))</f>
        <v/>
      </c>
      <c r="BY58" s="17">
        <f>IF(AL58="","",MATCH(AL58,$AW$2:$AW$6,0))</f>
        <v/>
      </c>
      <c r="BZ58" s="17">
        <f>IF(AM58="","",MATCH(AM58,$AW$2:$AW$6,0))</f>
        <v/>
      </c>
      <c r="CA58" s="17">
        <f>IF(AN58="","",MATCH(AN58,$AW$2:$AW$6,0))</f>
        <v/>
      </c>
      <c r="CB58" s="17">
        <f>IF(AO58="","",MATCH(AO58,$AW$2:$AW$6,0))</f>
        <v/>
      </c>
      <c r="CC58" s="17">
        <f>IF(AP58="","",MATCH(AP58,$AW$2:$AW$6,0))</f>
        <v/>
      </c>
      <c r="CD58" s="17">
        <f>IF(AQ58="","",MATCH(AQ58,$AW$2:$AW$6,0))</f>
        <v/>
      </c>
      <c r="CE58" s="34" t="n"/>
      <c r="CF58" s="34" t="n"/>
      <c r="CG58" s="34" t="n"/>
      <c r="CH58" s="34" t="n"/>
      <c r="CI58" s="16">
        <f>IF(AR58="","",AR58)</f>
        <v/>
      </c>
      <c r="CJ58" s="16">
        <f>IF(AS58="","",AS58)</f>
        <v/>
      </c>
      <c r="CK58" s="16">
        <f>IF(AT58="","",AT58)</f>
        <v/>
      </c>
      <c r="CL58" s="16">
        <f>IF(AU58="","",AU58)</f>
        <v/>
      </c>
      <c r="CM58" s="35">
        <f>IF(AY58="","",IF(COUNTIF($AY$5:$AY$64,AY58)&gt;1,"중복! 마지막 것만 남기세요",""))</f>
        <v/>
      </c>
    </row>
    <row r="59">
      <c r="AY59" s="16">
        <f>IF(AND(B59="",C59=""),"",TRIM(B59)&amp;" "&amp;TRIM(C59))</f>
        <v/>
      </c>
      <c r="AZ59" s="17">
        <f>IF(AND(B59="",C59=""),"",SUMPRODUCT(--(D59:M59=$D$3:$M$3)))</f>
        <v/>
      </c>
      <c r="BA59" s="17">
        <f>IF(N59="","",MATCH(N59,$AW$2:$AW$6,0))</f>
        <v/>
      </c>
      <c r="BB59" s="17">
        <f>IF(O59="","",MATCH(O59,$AW$2:$AW$6,0))</f>
        <v/>
      </c>
      <c r="BC59" s="17">
        <f>IF(P59="","",MATCH(P59,$AW$2:$AW$6,0))</f>
        <v/>
      </c>
      <c r="BD59" s="17">
        <f>IF(Q59="","",MATCH(Q59,$AW$2:$AW$6,0))</f>
        <v/>
      </c>
      <c r="BE59" s="17">
        <f>IF(R59="","",MATCH(R59,$AW$2:$AW$6,0))</f>
        <v/>
      </c>
      <c r="BF59" s="17">
        <f>IF(S59="","",MATCH(S59,$AW$2:$AW$6,0))</f>
        <v/>
      </c>
      <c r="BG59" s="17">
        <f>IF(T59="","",MATCH(T59,$AW$2:$AW$6,0))</f>
        <v/>
      </c>
      <c r="BH59" s="17">
        <f>IF(U59="","",MATCH(U59,$AW$2:$AW$6,0))</f>
        <v/>
      </c>
      <c r="BI59" s="17">
        <f>IF(V59="","",MATCH(V59,$AW$2:$AW$6,0))</f>
        <v/>
      </c>
      <c r="BJ59" s="17">
        <f>IF(W59="","",MATCH(W59,$AW$2:$AW$6,0))</f>
        <v/>
      </c>
      <c r="BK59" s="17">
        <f>IF(X59="","",MATCH(X59,$AW$2:$AW$6,0))</f>
        <v/>
      </c>
      <c r="BL59" s="17">
        <f>IF(Y59="","",MATCH(Y59,$AW$2:$AW$6,0))</f>
        <v/>
      </c>
      <c r="BM59" s="17">
        <f>IF(Z59="","",MATCH(Z59,$AW$2:$AW$6,0))</f>
        <v/>
      </c>
      <c r="BN59" s="17">
        <f>IF(AA59="","",MATCH(AA59,$AW$2:$AW$6,0))</f>
        <v/>
      </c>
      <c r="BO59" s="17">
        <f>IF(AB59="","",MATCH(AB59,$AW$2:$AW$6,0))</f>
        <v/>
      </c>
      <c r="BP59" s="17">
        <f>IF(AC59="","",MATCH(AC59,$AW$2:$AW$6,0))</f>
        <v/>
      </c>
      <c r="BQ59" s="17">
        <f>IF(AD59="","",MATCH(AD59,$AW$2:$AW$6,0))</f>
        <v/>
      </c>
      <c r="BR59" s="17">
        <f>IF(AE59="","",MATCH(AE59,$AW$2:$AW$6,0))</f>
        <v/>
      </c>
      <c r="BS59" s="17">
        <f>IF(AF59="","",MATCH(AF59,$AW$2:$AW$6,0))</f>
        <v/>
      </c>
      <c r="BT59" s="17">
        <f>IF(AG59="","",MATCH(AG59,$AW$2:$AW$6,0))</f>
        <v/>
      </c>
      <c r="BU59" s="17">
        <f>IF(AH59="","",MATCH(AH59,$AW$2:$AW$6,0))</f>
        <v/>
      </c>
      <c r="BV59" s="17">
        <f>IF(AI59="","",MATCH(AI59,$AW$2:$AW$6,0))</f>
        <v/>
      </c>
      <c r="BW59" s="17">
        <f>IF(AJ59="","",MATCH(AJ59,$AW$2:$AW$6,0))</f>
        <v/>
      </c>
      <c r="BX59" s="17">
        <f>IF(AK59="","",MATCH(AK59,$AW$2:$AW$6,0))</f>
        <v/>
      </c>
      <c r="BY59" s="17">
        <f>IF(AL59="","",MATCH(AL59,$AW$2:$AW$6,0))</f>
        <v/>
      </c>
      <c r="BZ59" s="17">
        <f>IF(AM59="","",MATCH(AM59,$AW$2:$AW$6,0))</f>
        <v/>
      </c>
      <c r="CA59" s="17">
        <f>IF(AN59="","",MATCH(AN59,$AW$2:$AW$6,0))</f>
        <v/>
      </c>
      <c r="CB59" s="17">
        <f>IF(AO59="","",MATCH(AO59,$AW$2:$AW$6,0))</f>
        <v/>
      </c>
      <c r="CC59" s="17">
        <f>IF(AP59="","",MATCH(AP59,$AW$2:$AW$6,0))</f>
        <v/>
      </c>
      <c r="CD59" s="17">
        <f>IF(AQ59="","",MATCH(AQ59,$AW$2:$AW$6,0))</f>
        <v/>
      </c>
      <c r="CE59" s="34" t="n"/>
      <c r="CF59" s="34" t="n"/>
      <c r="CG59" s="34" t="n"/>
      <c r="CH59" s="34" t="n"/>
      <c r="CI59" s="16">
        <f>IF(AR59="","",AR59)</f>
        <v/>
      </c>
      <c r="CJ59" s="16">
        <f>IF(AS59="","",AS59)</f>
        <v/>
      </c>
      <c r="CK59" s="16">
        <f>IF(AT59="","",AT59)</f>
        <v/>
      </c>
      <c r="CL59" s="16">
        <f>IF(AU59="","",AU59)</f>
        <v/>
      </c>
      <c r="CM59" s="35">
        <f>IF(AY59="","",IF(COUNTIF($AY$5:$AY$64,AY59)&gt;1,"중복! 마지막 것만 남기세요",""))</f>
        <v/>
      </c>
    </row>
    <row r="60">
      <c r="AY60" s="16">
        <f>IF(AND(B60="",C60=""),"",TRIM(B60)&amp;" "&amp;TRIM(C60))</f>
        <v/>
      </c>
      <c r="AZ60" s="17">
        <f>IF(AND(B60="",C60=""),"",SUMPRODUCT(--(D60:M60=$D$3:$M$3)))</f>
        <v/>
      </c>
      <c r="BA60" s="17">
        <f>IF(N60="","",MATCH(N60,$AW$2:$AW$6,0))</f>
        <v/>
      </c>
      <c r="BB60" s="17">
        <f>IF(O60="","",MATCH(O60,$AW$2:$AW$6,0))</f>
        <v/>
      </c>
      <c r="BC60" s="17">
        <f>IF(P60="","",MATCH(P60,$AW$2:$AW$6,0))</f>
        <v/>
      </c>
      <c r="BD60" s="17">
        <f>IF(Q60="","",MATCH(Q60,$AW$2:$AW$6,0))</f>
        <v/>
      </c>
      <c r="BE60" s="17">
        <f>IF(R60="","",MATCH(R60,$AW$2:$AW$6,0))</f>
        <v/>
      </c>
      <c r="BF60" s="17">
        <f>IF(S60="","",MATCH(S60,$AW$2:$AW$6,0))</f>
        <v/>
      </c>
      <c r="BG60" s="17">
        <f>IF(T60="","",MATCH(T60,$AW$2:$AW$6,0))</f>
        <v/>
      </c>
      <c r="BH60" s="17">
        <f>IF(U60="","",MATCH(U60,$AW$2:$AW$6,0))</f>
        <v/>
      </c>
      <c r="BI60" s="17">
        <f>IF(V60="","",MATCH(V60,$AW$2:$AW$6,0))</f>
        <v/>
      </c>
      <c r="BJ60" s="17">
        <f>IF(W60="","",MATCH(W60,$AW$2:$AW$6,0))</f>
        <v/>
      </c>
      <c r="BK60" s="17">
        <f>IF(X60="","",MATCH(X60,$AW$2:$AW$6,0))</f>
        <v/>
      </c>
      <c r="BL60" s="17">
        <f>IF(Y60="","",MATCH(Y60,$AW$2:$AW$6,0))</f>
        <v/>
      </c>
      <c r="BM60" s="17">
        <f>IF(Z60="","",MATCH(Z60,$AW$2:$AW$6,0))</f>
        <v/>
      </c>
      <c r="BN60" s="17">
        <f>IF(AA60="","",MATCH(AA60,$AW$2:$AW$6,0))</f>
        <v/>
      </c>
      <c r="BO60" s="17">
        <f>IF(AB60="","",MATCH(AB60,$AW$2:$AW$6,0))</f>
        <v/>
      </c>
      <c r="BP60" s="17">
        <f>IF(AC60="","",MATCH(AC60,$AW$2:$AW$6,0))</f>
        <v/>
      </c>
      <c r="BQ60" s="17">
        <f>IF(AD60="","",MATCH(AD60,$AW$2:$AW$6,0))</f>
        <v/>
      </c>
      <c r="BR60" s="17">
        <f>IF(AE60="","",MATCH(AE60,$AW$2:$AW$6,0))</f>
        <v/>
      </c>
      <c r="BS60" s="17">
        <f>IF(AF60="","",MATCH(AF60,$AW$2:$AW$6,0))</f>
        <v/>
      </c>
      <c r="BT60" s="17">
        <f>IF(AG60="","",MATCH(AG60,$AW$2:$AW$6,0))</f>
        <v/>
      </c>
      <c r="BU60" s="17">
        <f>IF(AH60="","",MATCH(AH60,$AW$2:$AW$6,0))</f>
        <v/>
      </c>
      <c r="BV60" s="17">
        <f>IF(AI60="","",MATCH(AI60,$AW$2:$AW$6,0))</f>
        <v/>
      </c>
      <c r="BW60" s="17">
        <f>IF(AJ60="","",MATCH(AJ60,$AW$2:$AW$6,0))</f>
        <v/>
      </c>
      <c r="BX60" s="17">
        <f>IF(AK60="","",MATCH(AK60,$AW$2:$AW$6,0))</f>
        <v/>
      </c>
      <c r="BY60" s="17">
        <f>IF(AL60="","",MATCH(AL60,$AW$2:$AW$6,0))</f>
        <v/>
      </c>
      <c r="BZ60" s="17">
        <f>IF(AM60="","",MATCH(AM60,$AW$2:$AW$6,0))</f>
        <v/>
      </c>
      <c r="CA60" s="17">
        <f>IF(AN60="","",MATCH(AN60,$AW$2:$AW$6,0))</f>
        <v/>
      </c>
      <c r="CB60" s="17">
        <f>IF(AO60="","",MATCH(AO60,$AW$2:$AW$6,0))</f>
        <v/>
      </c>
      <c r="CC60" s="17">
        <f>IF(AP60="","",MATCH(AP60,$AW$2:$AW$6,0))</f>
        <v/>
      </c>
      <c r="CD60" s="17">
        <f>IF(AQ60="","",MATCH(AQ60,$AW$2:$AW$6,0))</f>
        <v/>
      </c>
      <c r="CE60" s="34" t="n"/>
      <c r="CF60" s="34" t="n"/>
      <c r="CG60" s="34" t="n"/>
      <c r="CH60" s="34" t="n"/>
      <c r="CI60" s="16">
        <f>IF(AR60="","",AR60)</f>
        <v/>
      </c>
      <c r="CJ60" s="16">
        <f>IF(AS60="","",AS60)</f>
        <v/>
      </c>
      <c r="CK60" s="16">
        <f>IF(AT60="","",AT60)</f>
        <v/>
      </c>
      <c r="CL60" s="16">
        <f>IF(AU60="","",AU60)</f>
        <v/>
      </c>
      <c r="CM60" s="35">
        <f>IF(AY60="","",IF(COUNTIF($AY$5:$AY$64,AY60)&gt;1,"중복! 마지막 것만 남기세요",""))</f>
        <v/>
      </c>
    </row>
    <row r="61">
      <c r="AY61" s="16">
        <f>IF(AND(B61="",C61=""),"",TRIM(B61)&amp;" "&amp;TRIM(C61))</f>
        <v/>
      </c>
      <c r="AZ61" s="17">
        <f>IF(AND(B61="",C61=""),"",SUMPRODUCT(--(D61:M61=$D$3:$M$3)))</f>
        <v/>
      </c>
      <c r="BA61" s="17">
        <f>IF(N61="","",MATCH(N61,$AW$2:$AW$6,0))</f>
        <v/>
      </c>
      <c r="BB61" s="17">
        <f>IF(O61="","",MATCH(O61,$AW$2:$AW$6,0))</f>
        <v/>
      </c>
      <c r="BC61" s="17">
        <f>IF(P61="","",MATCH(P61,$AW$2:$AW$6,0))</f>
        <v/>
      </c>
      <c r="BD61" s="17">
        <f>IF(Q61="","",MATCH(Q61,$AW$2:$AW$6,0))</f>
        <v/>
      </c>
      <c r="BE61" s="17">
        <f>IF(R61="","",MATCH(R61,$AW$2:$AW$6,0))</f>
        <v/>
      </c>
      <c r="BF61" s="17">
        <f>IF(S61="","",MATCH(S61,$AW$2:$AW$6,0))</f>
        <v/>
      </c>
      <c r="BG61" s="17">
        <f>IF(T61="","",MATCH(T61,$AW$2:$AW$6,0))</f>
        <v/>
      </c>
      <c r="BH61" s="17">
        <f>IF(U61="","",MATCH(U61,$AW$2:$AW$6,0))</f>
        <v/>
      </c>
      <c r="BI61" s="17">
        <f>IF(V61="","",MATCH(V61,$AW$2:$AW$6,0))</f>
        <v/>
      </c>
      <c r="BJ61" s="17">
        <f>IF(W61="","",MATCH(W61,$AW$2:$AW$6,0))</f>
        <v/>
      </c>
      <c r="BK61" s="17">
        <f>IF(X61="","",MATCH(X61,$AW$2:$AW$6,0))</f>
        <v/>
      </c>
      <c r="BL61" s="17">
        <f>IF(Y61="","",MATCH(Y61,$AW$2:$AW$6,0))</f>
        <v/>
      </c>
      <c r="BM61" s="17">
        <f>IF(Z61="","",MATCH(Z61,$AW$2:$AW$6,0))</f>
        <v/>
      </c>
      <c r="BN61" s="17">
        <f>IF(AA61="","",MATCH(AA61,$AW$2:$AW$6,0))</f>
        <v/>
      </c>
      <c r="BO61" s="17">
        <f>IF(AB61="","",MATCH(AB61,$AW$2:$AW$6,0))</f>
        <v/>
      </c>
      <c r="BP61" s="17">
        <f>IF(AC61="","",MATCH(AC61,$AW$2:$AW$6,0))</f>
        <v/>
      </c>
      <c r="BQ61" s="17">
        <f>IF(AD61="","",MATCH(AD61,$AW$2:$AW$6,0))</f>
        <v/>
      </c>
      <c r="BR61" s="17">
        <f>IF(AE61="","",MATCH(AE61,$AW$2:$AW$6,0))</f>
        <v/>
      </c>
      <c r="BS61" s="17">
        <f>IF(AF61="","",MATCH(AF61,$AW$2:$AW$6,0))</f>
        <v/>
      </c>
      <c r="BT61" s="17">
        <f>IF(AG61="","",MATCH(AG61,$AW$2:$AW$6,0))</f>
        <v/>
      </c>
      <c r="BU61" s="17">
        <f>IF(AH61="","",MATCH(AH61,$AW$2:$AW$6,0))</f>
        <v/>
      </c>
      <c r="BV61" s="17">
        <f>IF(AI61="","",MATCH(AI61,$AW$2:$AW$6,0))</f>
        <v/>
      </c>
      <c r="BW61" s="17">
        <f>IF(AJ61="","",MATCH(AJ61,$AW$2:$AW$6,0))</f>
        <v/>
      </c>
      <c r="BX61" s="17">
        <f>IF(AK61="","",MATCH(AK61,$AW$2:$AW$6,0))</f>
        <v/>
      </c>
      <c r="BY61" s="17">
        <f>IF(AL61="","",MATCH(AL61,$AW$2:$AW$6,0))</f>
        <v/>
      </c>
      <c r="BZ61" s="17">
        <f>IF(AM61="","",MATCH(AM61,$AW$2:$AW$6,0))</f>
        <v/>
      </c>
      <c r="CA61" s="17">
        <f>IF(AN61="","",MATCH(AN61,$AW$2:$AW$6,0))</f>
        <v/>
      </c>
      <c r="CB61" s="17">
        <f>IF(AO61="","",MATCH(AO61,$AW$2:$AW$6,0))</f>
        <v/>
      </c>
      <c r="CC61" s="17">
        <f>IF(AP61="","",MATCH(AP61,$AW$2:$AW$6,0))</f>
        <v/>
      </c>
      <c r="CD61" s="17">
        <f>IF(AQ61="","",MATCH(AQ61,$AW$2:$AW$6,0))</f>
        <v/>
      </c>
      <c r="CE61" s="34" t="n"/>
      <c r="CF61" s="34" t="n"/>
      <c r="CG61" s="34" t="n"/>
      <c r="CH61" s="34" t="n"/>
      <c r="CI61" s="16">
        <f>IF(AR61="","",AR61)</f>
        <v/>
      </c>
      <c r="CJ61" s="16">
        <f>IF(AS61="","",AS61)</f>
        <v/>
      </c>
      <c r="CK61" s="16">
        <f>IF(AT61="","",AT61)</f>
        <v/>
      </c>
      <c r="CL61" s="16">
        <f>IF(AU61="","",AU61)</f>
        <v/>
      </c>
      <c r="CM61" s="35">
        <f>IF(AY61="","",IF(COUNTIF($AY$5:$AY$64,AY61)&gt;1,"중복! 마지막 것만 남기세요",""))</f>
        <v/>
      </c>
    </row>
    <row r="62">
      <c r="AY62" s="16">
        <f>IF(AND(B62="",C62=""),"",TRIM(B62)&amp;" "&amp;TRIM(C62))</f>
        <v/>
      </c>
      <c r="AZ62" s="17">
        <f>IF(AND(B62="",C62=""),"",SUMPRODUCT(--(D62:M62=$D$3:$M$3)))</f>
        <v/>
      </c>
      <c r="BA62" s="17">
        <f>IF(N62="","",MATCH(N62,$AW$2:$AW$6,0))</f>
        <v/>
      </c>
      <c r="BB62" s="17">
        <f>IF(O62="","",MATCH(O62,$AW$2:$AW$6,0))</f>
        <v/>
      </c>
      <c r="BC62" s="17">
        <f>IF(P62="","",MATCH(P62,$AW$2:$AW$6,0))</f>
        <v/>
      </c>
      <c r="BD62" s="17">
        <f>IF(Q62="","",MATCH(Q62,$AW$2:$AW$6,0))</f>
        <v/>
      </c>
      <c r="BE62" s="17">
        <f>IF(R62="","",MATCH(R62,$AW$2:$AW$6,0))</f>
        <v/>
      </c>
      <c r="BF62" s="17">
        <f>IF(S62="","",MATCH(S62,$AW$2:$AW$6,0))</f>
        <v/>
      </c>
      <c r="BG62" s="17">
        <f>IF(T62="","",MATCH(T62,$AW$2:$AW$6,0))</f>
        <v/>
      </c>
      <c r="BH62" s="17">
        <f>IF(U62="","",MATCH(U62,$AW$2:$AW$6,0))</f>
        <v/>
      </c>
      <c r="BI62" s="17">
        <f>IF(V62="","",MATCH(V62,$AW$2:$AW$6,0))</f>
        <v/>
      </c>
      <c r="BJ62" s="17">
        <f>IF(W62="","",MATCH(W62,$AW$2:$AW$6,0))</f>
        <v/>
      </c>
      <c r="BK62" s="17">
        <f>IF(X62="","",MATCH(X62,$AW$2:$AW$6,0))</f>
        <v/>
      </c>
      <c r="BL62" s="17">
        <f>IF(Y62="","",MATCH(Y62,$AW$2:$AW$6,0))</f>
        <v/>
      </c>
      <c r="BM62" s="17">
        <f>IF(Z62="","",MATCH(Z62,$AW$2:$AW$6,0))</f>
        <v/>
      </c>
      <c r="BN62" s="17">
        <f>IF(AA62="","",MATCH(AA62,$AW$2:$AW$6,0))</f>
        <v/>
      </c>
      <c r="BO62" s="17">
        <f>IF(AB62="","",MATCH(AB62,$AW$2:$AW$6,0))</f>
        <v/>
      </c>
      <c r="BP62" s="17">
        <f>IF(AC62="","",MATCH(AC62,$AW$2:$AW$6,0))</f>
        <v/>
      </c>
      <c r="BQ62" s="17">
        <f>IF(AD62="","",MATCH(AD62,$AW$2:$AW$6,0))</f>
        <v/>
      </c>
      <c r="BR62" s="17">
        <f>IF(AE62="","",MATCH(AE62,$AW$2:$AW$6,0))</f>
        <v/>
      </c>
      <c r="BS62" s="17">
        <f>IF(AF62="","",MATCH(AF62,$AW$2:$AW$6,0))</f>
        <v/>
      </c>
      <c r="BT62" s="17">
        <f>IF(AG62="","",MATCH(AG62,$AW$2:$AW$6,0))</f>
        <v/>
      </c>
      <c r="BU62" s="17">
        <f>IF(AH62="","",MATCH(AH62,$AW$2:$AW$6,0))</f>
        <v/>
      </c>
      <c r="BV62" s="17">
        <f>IF(AI62="","",MATCH(AI62,$AW$2:$AW$6,0))</f>
        <v/>
      </c>
      <c r="BW62" s="17">
        <f>IF(AJ62="","",MATCH(AJ62,$AW$2:$AW$6,0))</f>
        <v/>
      </c>
      <c r="BX62" s="17">
        <f>IF(AK62="","",MATCH(AK62,$AW$2:$AW$6,0))</f>
        <v/>
      </c>
      <c r="BY62" s="17">
        <f>IF(AL62="","",MATCH(AL62,$AW$2:$AW$6,0))</f>
        <v/>
      </c>
      <c r="BZ62" s="17">
        <f>IF(AM62="","",MATCH(AM62,$AW$2:$AW$6,0))</f>
        <v/>
      </c>
      <c r="CA62" s="17">
        <f>IF(AN62="","",MATCH(AN62,$AW$2:$AW$6,0))</f>
        <v/>
      </c>
      <c r="CB62" s="17">
        <f>IF(AO62="","",MATCH(AO62,$AW$2:$AW$6,0))</f>
        <v/>
      </c>
      <c r="CC62" s="17">
        <f>IF(AP62="","",MATCH(AP62,$AW$2:$AW$6,0))</f>
        <v/>
      </c>
      <c r="CD62" s="17">
        <f>IF(AQ62="","",MATCH(AQ62,$AW$2:$AW$6,0))</f>
        <v/>
      </c>
      <c r="CE62" s="34" t="n"/>
      <c r="CF62" s="34" t="n"/>
      <c r="CG62" s="34" t="n"/>
      <c r="CH62" s="34" t="n"/>
      <c r="CI62" s="16">
        <f>IF(AR62="","",AR62)</f>
        <v/>
      </c>
      <c r="CJ62" s="16">
        <f>IF(AS62="","",AS62)</f>
        <v/>
      </c>
      <c r="CK62" s="16">
        <f>IF(AT62="","",AT62)</f>
        <v/>
      </c>
      <c r="CL62" s="16">
        <f>IF(AU62="","",AU62)</f>
        <v/>
      </c>
      <c r="CM62" s="35">
        <f>IF(AY62="","",IF(COUNTIF($AY$5:$AY$64,AY62)&gt;1,"중복! 마지막 것만 남기세요",""))</f>
        <v/>
      </c>
    </row>
    <row r="63">
      <c r="AY63" s="16">
        <f>IF(AND(B63="",C63=""),"",TRIM(B63)&amp;" "&amp;TRIM(C63))</f>
        <v/>
      </c>
      <c r="AZ63" s="17">
        <f>IF(AND(B63="",C63=""),"",SUMPRODUCT(--(D63:M63=$D$3:$M$3)))</f>
        <v/>
      </c>
      <c r="BA63" s="17">
        <f>IF(N63="","",MATCH(N63,$AW$2:$AW$6,0))</f>
        <v/>
      </c>
      <c r="BB63" s="17">
        <f>IF(O63="","",MATCH(O63,$AW$2:$AW$6,0))</f>
        <v/>
      </c>
      <c r="BC63" s="17">
        <f>IF(P63="","",MATCH(P63,$AW$2:$AW$6,0))</f>
        <v/>
      </c>
      <c r="BD63" s="17">
        <f>IF(Q63="","",MATCH(Q63,$AW$2:$AW$6,0))</f>
        <v/>
      </c>
      <c r="BE63" s="17">
        <f>IF(R63="","",MATCH(R63,$AW$2:$AW$6,0))</f>
        <v/>
      </c>
      <c r="BF63" s="17">
        <f>IF(S63="","",MATCH(S63,$AW$2:$AW$6,0))</f>
        <v/>
      </c>
      <c r="BG63" s="17">
        <f>IF(T63="","",MATCH(T63,$AW$2:$AW$6,0))</f>
        <v/>
      </c>
      <c r="BH63" s="17">
        <f>IF(U63="","",MATCH(U63,$AW$2:$AW$6,0))</f>
        <v/>
      </c>
      <c r="BI63" s="17">
        <f>IF(V63="","",MATCH(V63,$AW$2:$AW$6,0))</f>
        <v/>
      </c>
      <c r="BJ63" s="17">
        <f>IF(W63="","",MATCH(W63,$AW$2:$AW$6,0))</f>
        <v/>
      </c>
      <c r="BK63" s="17">
        <f>IF(X63="","",MATCH(X63,$AW$2:$AW$6,0))</f>
        <v/>
      </c>
      <c r="BL63" s="17">
        <f>IF(Y63="","",MATCH(Y63,$AW$2:$AW$6,0))</f>
        <v/>
      </c>
      <c r="BM63" s="17">
        <f>IF(Z63="","",MATCH(Z63,$AW$2:$AW$6,0))</f>
        <v/>
      </c>
      <c r="BN63" s="17">
        <f>IF(AA63="","",MATCH(AA63,$AW$2:$AW$6,0))</f>
        <v/>
      </c>
      <c r="BO63" s="17">
        <f>IF(AB63="","",MATCH(AB63,$AW$2:$AW$6,0))</f>
        <v/>
      </c>
      <c r="BP63" s="17">
        <f>IF(AC63="","",MATCH(AC63,$AW$2:$AW$6,0))</f>
        <v/>
      </c>
      <c r="BQ63" s="17">
        <f>IF(AD63="","",MATCH(AD63,$AW$2:$AW$6,0))</f>
        <v/>
      </c>
      <c r="BR63" s="17">
        <f>IF(AE63="","",MATCH(AE63,$AW$2:$AW$6,0))</f>
        <v/>
      </c>
      <c r="BS63" s="17">
        <f>IF(AF63="","",MATCH(AF63,$AW$2:$AW$6,0))</f>
        <v/>
      </c>
      <c r="BT63" s="17">
        <f>IF(AG63="","",MATCH(AG63,$AW$2:$AW$6,0))</f>
        <v/>
      </c>
      <c r="BU63" s="17">
        <f>IF(AH63="","",MATCH(AH63,$AW$2:$AW$6,0))</f>
        <v/>
      </c>
      <c r="BV63" s="17">
        <f>IF(AI63="","",MATCH(AI63,$AW$2:$AW$6,0))</f>
        <v/>
      </c>
      <c r="BW63" s="17">
        <f>IF(AJ63="","",MATCH(AJ63,$AW$2:$AW$6,0))</f>
        <v/>
      </c>
      <c r="BX63" s="17">
        <f>IF(AK63="","",MATCH(AK63,$AW$2:$AW$6,0))</f>
        <v/>
      </c>
      <c r="BY63" s="17">
        <f>IF(AL63="","",MATCH(AL63,$AW$2:$AW$6,0))</f>
        <v/>
      </c>
      <c r="BZ63" s="17">
        <f>IF(AM63="","",MATCH(AM63,$AW$2:$AW$6,0))</f>
        <v/>
      </c>
      <c r="CA63" s="17">
        <f>IF(AN63="","",MATCH(AN63,$AW$2:$AW$6,0))</f>
        <v/>
      </c>
      <c r="CB63" s="17">
        <f>IF(AO63="","",MATCH(AO63,$AW$2:$AW$6,0))</f>
        <v/>
      </c>
      <c r="CC63" s="17">
        <f>IF(AP63="","",MATCH(AP63,$AW$2:$AW$6,0))</f>
        <v/>
      </c>
      <c r="CD63" s="17">
        <f>IF(AQ63="","",MATCH(AQ63,$AW$2:$AW$6,0))</f>
        <v/>
      </c>
      <c r="CE63" s="34" t="n"/>
      <c r="CF63" s="34" t="n"/>
      <c r="CG63" s="34" t="n"/>
      <c r="CH63" s="34" t="n"/>
      <c r="CI63" s="16">
        <f>IF(AR63="","",AR63)</f>
        <v/>
      </c>
      <c r="CJ63" s="16">
        <f>IF(AS63="","",AS63)</f>
        <v/>
      </c>
      <c r="CK63" s="16">
        <f>IF(AT63="","",AT63)</f>
        <v/>
      </c>
      <c r="CL63" s="16">
        <f>IF(AU63="","",AU63)</f>
        <v/>
      </c>
      <c r="CM63" s="35">
        <f>IF(AY63="","",IF(COUNTIF($AY$5:$AY$64,AY63)&gt;1,"중복! 마지막 것만 남기세요",""))</f>
        <v/>
      </c>
    </row>
    <row r="64">
      <c r="AY64" s="16">
        <f>IF(AND(B64="",C64=""),"",TRIM(B64)&amp;" "&amp;TRIM(C64))</f>
        <v/>
      </c>
      <c r="AZ64" s="17">
        <f>IF(AND(B64="",C64=""),"",SUMPRODUCT(--(D64:M64=$D$3:$M$3)))</f>
        <v/>
      </c>
      <c r="BA64" s="17">
        <f>IF(N64="","",MATCH(N64,$AW$2:$AW$6,0))</f>
        <v/>
      </c>
      <c r="BB64" s="17">
        <f>IF(O64="","",MATCH(O64,$AW$2:$AW$6,0))</f>
        <v/>
      </c>
      <c r="BC64" s="17">
        <f>IF(P64="","",MATCH(P64,$AW$2:$AW$6,0))</f>
        <v/>
      </c>
      <c r="BD64" s="17">
        <f>IF(Q64="","",MATCH(Q64,$AW$2:$AW$6,0))</f>
        <v/>
      </c>
      <c r="BE64" s="17">
        <f>IF(R64="","",MATCH(R64,$AW$2:$AW$6,0))</f>
        <v/>
      </c>
      <c r="BF64" s="17">
        <f>IF(S64="","",MATCH(S64,$AW$2:$AW$6,0))</f>
        <v/>
      </c>
      <c r="BG64" s="17">
        <f>IF(T64="","",MATCH(T64,$AW$2:$AW$6,0))</f>
        <v/>
      </c>
      <c r="BH64" s="17">
        <f>IF(U64="","",MATCH(U64,$AW$2:$AW$6,0))</f>
        <v/>
      </c>
      <c r="BI64" s="17">
        <f>IF(V64="","",MATCH(V64,$AW$2:$AW$6,0))</f>
        <v/>
      </c>
      <c r="BJ64" s="17">
        <f>IF(W64="","",MATCH(W64,$AW$2:$AW$6,0))</f>
        <v/>
      </c>
      <c r="BK64" s="17">
        <f>IF(X64="","",MATCH(X64,$AW$2:$AW$6,0))</f>
        <v/>
      </c>
      <c r="BL64" s="17">
        <f>IF(Y64="","",MATCH(Y64,$AW$2:$AW$6,0))</f>
        <v/>
      </c>
      <c r="BM64" s="17">
        <f>IF(Z64="","",MATCH(Z64,$AW$2:$AW$6,0))</f>
        <v/>
      </c>
      <c r="BN64" s="17">
        <f>IF(AA64="","",MATCH(AA64,$AW$2:$AW$6,0))</f>
        <v/>
      </c>
      <c r="BO64" s="17">
        <f>IF(AB64="","",MATCH(AB64,$AW$2:$AW$6,0))</f>
        <v/>
      </c>
      <c r="BP64" s="17">
        <f>IF(AC64="","",MATCH(AC64,$AW$2:$AW$6,0))</f>
        <v/>
      </c>
      <c r="BQ64" s="17">
        <f>IF(AD64="","",MATCH(AD64,$AW$2:$AW$6,0))</f>
        <v/>
      </c>
      <c r="BR64" s="17">
        <f>IF(AE64="","",MATCH(AE64,$AW$2:$AW$6,0))</f>
        <v/>
      </c>
      <c r="BS64" s="17">
        <f>IF(AF64="","",MATCH(AF64,$AW$2:$AW$6,0))</f>
        <v/>
      </c>
      <c r="BT64" s="17">
        <f>IF(AG64="","",MATCH(AG64,$AW$2:$AW$6,0))</f>
        <v/>
      </c>
      <c r="BU64" s="17">
        <f>IF(AH64="","",MATCH(AH64,$AW$2:$AW$6,0))</f>
        <v/>
      </c>
      <c r="BV64" s="17">
        <f>IF(AI64="","",MATCH(AI64,$AW$2:$AW$6,0))</f>
        <v/>
      </c>
      <c r="BW64" s="17">
        <f>IF(AJ64="","",MATCH(AJ64,$AW$2:$AW$6,0))</f>
        <v/>
      </c>
      <c r="BX64" s="17">
        <f>IF(AK64="","",MATCH(AK64,$AW$2:$AW$6,0))</f>
        <v/>
      </c>
      <c r="BY64" s="17">
        <f>IF(AL64="","",MATCH(AL64,$AW$2:$AW$6,0))</f>
        <v/>
      </c>
      <c r="BZ64" s="17">
        <f>IF(AM64="","",MATCH(AM64,$AW$2:$AW$6,0))</f>
        <v/>
      </c>
      <c r="CA64" s="17">
        <f>IF(AN64="","",MATCH(AN64,$AW$2:$AW$6,0))</f>
        <v/>
      </c>
      <c r="CB64" s="17">
        <f>IF(AO64="","",MATCH(AO64,$AW$2:$AW$6,0))</f>
        <v/>
      </c>
      <c r="CC64" s="17">
        <f>IF(AP64="","",MATCH(AP64,$AW$2:$AW$6,0))</f>
        <v/>
      </c>
      <c r="CD64" s="17">
        <f>IF(AQ64="","",MATCH(AQ64,$AW$2:$AW$6,0))</f>
        <v/>
      </c>
      <c r="CE64" s="34" t="n"/>
      <c r="CF64" s="34" t="n"/>
      <c r="CG64" s="34" t="n"/>
      <c r="CH64" s="34" t="n"/>
      <c r="CI64" s="16">
        <f>IF(AR64="","",AR64)</f>
        <v/>
      </c>
      <c r="CJ64" s="16">
        <f>IF(AS64="","",AS64)</f>
        <v/>
      </c>
      <c r="CK64" s="16">
        <f>IF(AT64="","",AT64)</f>
        <v/>
      </c>
      <c r="CL64" s="16">
        <f>IF(AU64="","",AU64)</f>
        <v/>
      </c>
      <c r="CM64" s="35">
        <f>IF(AY64="","",IF(COUNTIF($AY$5:$AY$64,AY64)&gt;1,"중복! 마지막 것만 남기세요",""))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2026-10-21T01:28:58Z</dcterms:created>
  <dcterms:modified xmlns:dcterms="http://purl.org/dc/terms/" xmlns:xsi="http://www.w3.org/2001/XMLSchema-instance" xsi:type="dcterms:W3CDTF">2026-10-21T01:28:58Z</dcterms:modified>
</cp:coreProperties>
</file>